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i.WWW\Desktop\exir-intelligence-platform-sadaf\exir-intelligence-platform-sadaf\"/>
    </mc:Choice>
  </mc:AlternateContent>
  <xr:revisionPtr revIDLastSave="0" documentId="13_ncr:1_{9B960D2D-B626-4558-B021-6CC9A300CD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چک‌های سند نخورده" sheetId="1" r:id="rId1"/>
  </sheets>
  <definedNames>
    <definedName name="_xlnm._FilterDatabase" localSheetId="0" hidden="1">'چک‌های سند نخورده'!$A$4:$O$11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12" i="1"/>
  <c r="G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<sst xmlns="http://schemas.openxmlformats.org/spreadsheetml/2006/main" count="92" uniqueCount="78">
  <si>
    <t>چک‌های پرداختی معوق راهکاران که سند پرداخت نخورده‌اند (بدون سهامداران)</t>
  </si>
  <si>
    <t>تاریخ گزارش: 1405/07/27 — منبع: دیتابیس راهکاران (RPA3.PayableNote، State = 11، بدون سند تأییدشده تغییر مدت/وصول چک)</t>
  </si>
  <si>
    <t>ردیف</t>
  </si>
  <si>
    <t>شماره چک</t>
  </si>
  <si>
    <t>طرف حساب</t>
  </si>
  <si>
    <t>کد تفصیلی</t>
  </si>
  <si>
    <t>تاریخ سررسید</t>
  </si>
  <si>
    <t>روز معوق</t>
  </si>
  <si>
    <t>مبلغ (ریال)</t>
  </si>
  <si>
    <t>مبلغ (تومان)</t>
  </si>
  <si>
    <t>بانک</t>
  </si>
  <si>
    <t>شعبه</t>
  </si>
  <si>
    <t>شماره حساب</t>
  </si>
  <si>
    <t>شماره سند صدور</t>
  </si>
  <si>
    <t>تاریخ سند صدور</t>
  </si>
  <si>
    <t>شرح چک</t>
  </si>
  <si>
    <t>ملاحظات</t>
  </si>
  <si>
    <t>961156</t>
  </si>
  <si>
    <t>صنایع پلاستیک و بسته بندی محب قزوین</t>
  </si>
  <si>
    <t>130501</t>
  </si>
  <si>
    <t>1405/07/12</t>
  </si>
  <si>
    <t>بانک سپه</t>
  </si>
  <si>
    <t>اشتهارد کد 925</t>
  </si>
  <si>
    <t>925800143607</t>
  </si>
  <si>
    <t>33942</t>
  </si>
  <si>
    <t>1405/05/12</t>
  </si>
  <si>
    <t>پرداخت 50679 - بابت تیوب خمیر دندان چند منظوره اورادنت - 50.000 عدد - فراز.</t>
  </si>
  <si>
    <t>961154</t>
  </si>
  <si>
    <t>صنایع کارتن زرافشان- حسن پور-بهین پک</t>
  </si>
  <si>
    <t>130500</t>
  </si>
  <si>
    <t>1405/07/13</t>
  </si>
  <si>
    <t>33832</t>
  </si>
  <si>
    <t>1405/05/11</t>
  </si>
  <si>
    <t>پرداخت پ ف 1179 - بابت کارتن دئودرانت 12 تایی مولهنس - 10.000 عدد - فراز.</t>
  </si>
  <si>
    <t>102938</t>
  </si>
  <si>
    <t>آکسون - عظیمی</t>
  </si>
  <si>
    <t>130589</t>
  </si>
  <si>
    <t>1405/07/21</t>
  </si>
  <si>
    <t>بانک ملت</t>
  </si>
  <si>
    <t>دستگردی کد 65136</t>
  </si>
  <si>
    <t>9855163532</t>
  </si>
  <si>
    <t>29414</t>
  </si>
  <si>
    <t>1404/10/28</t>
  </si>
  <si>
    <t>پرداخت مانده حساب - فراز.</t>
  </si>
  <si>
    <t>چک دیگر همین سند (۱۰۲۹۳۷) سند پرداخت خورده — احتمال جاافتادن سند</t>
  </si>
  <si>
    <t>426862</t>
  </si>
  <si>
    <t>ظهورپلاستیک - احمدی</t>
  </si>
  <si>
    <t>130502</t>
  </si>
  <si>
    <t>9004173558</t>
  </si>
  <si>
    <t>32860</t>
  </si>
  <si>
    <t>1405/04/06</t>
  </si>
  <si>
    <t>پیش پرداخت به شرکت ظهور پلاستیک....</t>
  </si>
  <si>
    <t>150819</t>
  </si>
  <si>
    <t>1405/07/22</t>
  </si>
  <si>
    <t>33034</t>
  </si>
  <si>
    <t>1405/03/27</t>
  </si>
  <si>
    <t>پرداخت ش ف 14041113 - بابت تیوپ ژل مو کالیون 200میل مرطوب آبی - 15.741 عدد - فراز.</t>
  </si>
  <si>
    <t>462487</t>
  </si>
  <si>
    <t>شرکت کیمیاگسترفرسام</t>
  </si>
  <si>
    <t>130092</t>
  </si>
  <si>
    <t>9855267868</t>
  </si>
  <si>
    <t>33997</t>
  </si>
  <si>
    <t>1405/05/27</t>
  </si>
  <si>
    <t>پرداخت پ ف 205311 - بابت پروپیلن گلایکول - 1.000 کیلو - اکسیر ( مانده از قبل 717.600.000 ریال کسر شد).</t>
  </si>
  <si>
    <t>دو چک دیگر همین سند (۴۶۲۴۸۶ و ۴۶۲۴۸۸) سند پرداخت خورده — احتمال جاافتادن سند</t>
  </si>
  <si>
    <t>804559</t>
  </si>
  <si>
    <t>پارس پیشرو بیمه ایرانیان - بیمه تکمیلی</t>
  </si>
  <si>
    <t>106050</t>
  </si>
  <si>
    <t>1405/07/25</t>
  </si>
  <si>
    <t>بانک تجارت</t>
  </si>
  <si>
    <t>نفت شمالی کد 1465</t>
  </si>
  <si>
    <t>356056779</t>
  </si>
  <si>
    <t>30734</t>
  </si>
  <si>
    <t>1404/12/03</t>
  </si>
  <si>
    <t>پرداخت هزینه بیمه تکمیلی فراز بهداشت..</t>
  </si>
  <si>
    <t>چک قبلی همین طرف حساب (۱۸۱۳۷۷) سند پرداخت خورده — احتمال جاافتادن سند</t>
  </si>
  <si>
    <t>جمع</t>
  </si>
  <si>
    <t>مبلغ (تومان) = مبلغ ریالی دیتابیس ÷ ۱۰. «روز معوق» نسبت به تاریخ گزارش است. چک‌های سهامداران (۹۱۰۲۶۲ و ۰۴۴۵۶۵) طبق درخواست حذف شده‌اند.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</si>
</sst>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4"/>
      <name val="Arial"/>
    </font>
    <font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A4D"/>
      </patternFill>
    </fill>
    <fill>
      <patternFill patternType="solid">
        <fgColor rgb="FFFCE4E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3" borderId="1" xfId="0" applyFill="1" applyBorder="1"/>
    <xf numFmtId="3" fontId="5" fillId="3" borderId="1" xfId="0" applyNumberFormat="1" applyFont="1" applyFill="1" applyBorder="1"/>
    <xf numFmtId="0" fontId="6" fillId="0" borderId="0" xfId="0" applyFont="1"/>
    <xf numFmtId="0" fontId="5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49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rightToLeft="1" tabSelected="1" workbookViewId="0">
      <pane xSplit="2" ySplit="4" topLeftCell="C5" activePane="bottomRight" state="frozen"/>
      <selection pane="topRight"/>
      <selection pane="bottomLeft"/>
      <selection pane="bottomRight" activeCell="F16" sqref="F16"/>
    </sheetView>
  </sheetViews>
  <sheetFormatPr defaultRowHeight="14.25" x14ac:dyDescent="0.2"/>
  <cols>
    <col min="1" max="1" width="6" customWidth="1"/>
    <col min="2" max="2" width="11" customWidth="1"/>
    <col min="3" max="3" width="34" customWidth="1"/>
    <col min="4" max="4" width="11" customWidth="1"/>
    <col min="5" max="5" width="13" customWidth="1"/>
    <col min="6" max="6" width="10" customWidth="1"/>
    <col min="7" max="7" width="18" customWidth="1"/>
    <col min="8" max="8" width="16" customWidth="1"/>
    <col min="9" max="9" width="12" customWidth="1"/>
    <col min="10" max="10" width="24" customWidth="1"/>
    <col min="11" max="11" width="16" customWidth="1"/>
    <col min="12" max="13" width="14" customWidth="1"/>
    <col min="14" max="14" width="60" customWidth="1"/>
    <col min="15" max="15" width="48" customWidth="1"/>
  </cols>
  <sheetData>
    <row r="1" spans="1:15" ht="18" x14ac:dyDescent="0.25">
      <c r="A1" s="1" t="s">
        <v>0</v>
      </c>
    </row>
    <row r="2" spans="1:15" x14ac:dyDescent="0.2">
      <c r="A2" s="2" t="s">
        <v>1</v>
      </c>
    </row>
    <row r="4" spans="1:15" ht="30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">
      <c r="A5" s="4">
        <v>1</v>
      </c>
      <c r="B5" s="5" t="s">
        <v>17</v>
      </c>
      <c r="C5" s="12" t="s">
        <v>18</v>
      </c>
      <c r="D5" s="13" t="s">
        <v>19</v>
      </c>
      <c r="E5" s="13" t="s">
        <v>20</v>
      </c>
      <c r="F5" s="13">
        <v>15</v>
      </c>
      <c r="G5" s="14">
        <v>5696750000</v>
      </c>
      <c r="H5" s="14">
        <f>G5/10</f>
        <v>569675000</v>
      </c>
      <c r="I5" s="12" t="s">
        <v>21</v>
      </c>
      <c r="J5" s="12" t="s">
        <v>22</v>
      </c>
      <c r="K5" s="15" t="s">
        <v>23</v>
      </c>
      <c r="L5" s="13" t="s">
        <v>24</v>
      </c>
      <c r="M5" s="13" t="s">
        <v>25</v>
      </c>
      <c r="N5" s="16" t="s">
        <v>26</v>
      </c>
      <c r="O5" s="6"/>
    </row>
    <row r="6" spans="1:15" x14ac:dyDescent="0.2">
      <c r="A6" s="4">
        <v>2</v>
      </c>
      <c r="B6" s="17" t="s">
        <v>27</v>
      </c>
      <c r="C6" s="12" t="s">
        <v>28</v>
      </c>
      <c r="D6" s="13" t="s">
        <v>29</v>
      </c>
      <c r="E6" s="13" t="s">
        <v>30</v>
      </c>
      <c r="F6" s="13">
        <v>14</v>
      </c>
      <c r="G6" s="14">
        <v>2295700000</v>
      </c>
      <c r="H6" s="14">
        <f t="shared" ref="H5:H11" si="0">G6/10</f>
        <v>229570000</v>
      </c>
      <c r="I6" s="12" t="s">
        <v>21</v>
      </c>
      <c r="J6" s="12" t="s">
        <v>22</v>
      </c>
      <c r="K6" s="15" t="s">
        <v>23</v>
      </c>
      <c r="L6" s="13" t="s">
        <v>31</v>
      </c>
      <c r="M6" s="13" t="s">
        <v>32</v>
      </c>
      <c r="N6" s="16" t="s">
        <v>33</v>
      </c>
      <c r="O6" s="6"/>
    </row>
    <row r="7" spans="1:15" x14ac:dyDescent="0.2">
      <c r="A7" s="4">
        <v>3</v>
      </c>
      <c r="B7" s="17" t="s">
        <v>34</v>
      </c>
      <c r="C7" s="12" t="s">
        <v>35</v>
      </c>
      <c r="D7" s="13" t="s">
        <v>36</v>
      </c>
      <c r="E7" s="13" t="s">
        <v>37</v>
      </c>
      <c r="F7" s="13">
        <v>6</v>
      </c>
      <c r="G7" s="14">
        <v>3287512700</v>
      </c>
      <c r="H7" s="14">
        <f t="shared" si="0"/>
        <v>328751270</v>
      </c>
      <c r="I7" s="12" t="s">
        <v>38</v>
      </c>
      <c r="J7" s="12" t="s">
        <v>39</v>
      </c>
      <c r="K7" s="15" t="s">
        <v>40</v>
      </c>
      <c r="L7" s="13" t="s">
        <v>41</v>
      </c>
      <c r="M7" s="13" t="s">
        <v>42</v>
      </c>
      <c r="N7" s="16" t="s">
        <v>43</v>
      </c>
      <c r="O7" s="6" t="s">
        <v>44</v>
      </c>
    </row>
    <row r="8" spans="1:15" x14ac:dyDescent="0.2">
      <c r="A8" s="4">
        <v>4</v>
      </c>
      <c r="B8" s="5" t="s">
        <v>45</v>
      </c>
      <c r="C8" s="12" t="s">
        <v>46</v>
      </c>
      <c r="D8" s="13" t="s">
        <v>47</v>
      </c>
      <c r="E8" s="13" t="s">
        <v>37</v>
      </c>
      <c r="F8" s="13">
        <v>6</v>
      </c>
      <c r="G8" s="14">
        <v>3000000000</v>
      </c>
      <c r="H8" s="14">
        <f t="shared" si="0"/>
        <v>300000000</v>
      </c>
      <c r="I8" s="12" t="s">
        <v>38</v>
      </c>
      <c r="J8" s="12" t="s">
        <v>39</v>
      </c>
      <c r="K8" s="15" t="s">
        <v>48</v>
      </c>
      <c r="L8" s="13" t="s">
        <v>49</v>
      </c>
      <c r="M8" s="13" t="s">
        <v>50</v>
      </c>
      <c r="N8" s="16" t="s">
        <v>51</v>
      </c>
      <c r="O8" s="6"/>
    </row>
    <row r="9" spans="1:15" x14ac:dyDescent="0.2">
      <c r="A9" s="4">
        <v>5</v>
      </c>
      <c r="B9" s="5" t="s">
        <v>52</v>
      </c>
      <c r="C9" s="12" t="s">
        <v>18</v>
      </c>
      <c r="D9" s="13" t="s">
        <v>19</v>
      </c>
      <c r="E9" s="13" t="s">
        <v>53</v>
      </c>
      <c r="F9" s="13">
        <v>5</v>
      </c>
      <c r="G9" s="14">
        <v>1600000000</v>
      </c>
      <c r="H9" s="14">
        <f t="shared" si="0"/>
        <v>160000000</v>
      </c>
      <c r="I9" s="12" t="s">
        <v>38</v>
      </c>
      <c r="J9" s="12" t="s">
        <v>39</v>
      </c>
      <c r="K9" s="15" t="s">
        <v>40</v>
      </c>
      <c r="L9" s="13" t="s">
        <v>54</v>
      </c>
      <c r="M9" s="13" t="s">
        <v>55</v>
      </c>
      <c r="N9" s="16" t="s">
        <v>56</v>
      </c>
      <c r="O9" s="6"/>
    </row>
    <row r="10" spans="1:15" ht="25.5" x14ac:dyDescent="0.2">
      <c r="A10" s="4">
        <v>6</v>
      </c>
      <c r="B10" s="5" t="s">
        <v>57</v>
      </c>
      <c r="C10" s="12" t="s">
        <v>58</v>
      </c>
      <c r="D10" s="13" t="s">
        <v>59</v>
      </c>
      <c r="E10" s="13" t="s">
        <v>53</v>
      </c>
      <c r="F10" s="13">
        <v>5</v>
      </c>
      <c r="G10" s="14">
        <v>3000000000</v>
      </c>
      <c r="H10" s="14">
        <f t="shared" si="0"/>
        <v>300000000</v>
      </c>
      <c r="I10" s="12" t="s">
        <v>38</v>
      </c>
      <c r="J10" s="12" t="s">
        <v>39</v>
      </c>
      <c r="K10" s="15" t="s">
        <v>60</v>
      </c>
      <c r="L10" s="13" t="s">
        <v>61</v>
      </c>
      <c r="M10" s="13" t="s">
        <v>62</v>
      </c>
      <c r="N10" s="16" t="s">
        <v>63</v>
      </c>
      <c r="O10" s="6" t="s">
        <v>64</v>
      </c>
    </row>
    <row r="11" spans="1:15" x14ac:dyDescent="0.2">
      <c r="A11" s="4">
        <v>7</v>
      </c>
      <c r="B11" s="5" t="s">
        <v>65</v>
      </c>
      <c r="C11" s="12" t="s">
        <v>66</v>
      </c>
      <c r="D11" s="13" t="s">
        <v>67</v>
      </c>
      <c r="E11" s="13" t="s">
        <v>68</v>
      </c>
      <c r="F11" s="13">
        <v>2</v>
      </c>
      <c r="G11" s="14">
        <v>1671600000</v>
      </c>
      <c r="H11" s="14">
        <f t="shared" si="0"/>
        <v>167160000</v>
      </c>
      <c r="I11" s="12" t="s">
        <v>69</v>
      </c>
      <c r="J11" s="12" t="s">
        <v>70</v>
      </c>
      <c r="K11" s="15" t="s">
        <v>71</v>
      </c>
      <c r="L11" s="13" t="s">
        <v>72</v>
      </c>
      <c r="M11" s="13" t="s">
        <v>73</v>
      </c>
      <c r="N11" s="16" t="s">
        <v>74</v>
      </c>
      <c r="O11" s="6" t="s">
        <v>75</v>
      </c>
    </row>
    <row r="12" spans="1:15" ht="15" x14ac:dyDescent="0.25">
      <c r="A12" s="10" t="s">
        <v>76</v>
      </c>
      <c r="B12" s="11"/>
      <c r="C12" s="11"/>
      <c r="D12" s="11"/>
      <c r="E12" s="11"/>
      <c r="F12" s="11"/>
      <c r="G12" s="8">
        <f>SUM(G5:G11)</f>
        <v>20551562700</v>
      </c>
      <c r="H12" s="8">
        <f>SUM(H5:H11)</f>
        <v>2055156270</v>
      </c>
      <c r="I12" s="7"/>
      <c r="J12" s="7"/>
      <c r="K12" s="7"/>
      <c r="L12" s="7"/>
      <c r="M12" s="7"/>
      <c r="N12" s="7"/>
      <c r="O12" s="7"/>
    </row>
    <row r="14" spans="1:15" x14ac:dyDescent="0.2">
      <c r="A14" s="9" t="s">
        <v>77</v>
      </c>
    </row>
  </sheetData>
  <autoFilter ref="A4:O11" xr:uid="{00000000-0009-0000-0000-000000000000}"/>
  <mergeCells count="1"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چک‌های سند نخورده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</cp:lastModifiedBy>
  <dcterms:created xsi:type="dcterms:W3CDTF">2026-10-19T12:06:17Z</dcterms:created>
  <dcterms:modified xsi:type="dcterms:W3CDTF">2026-10-19T12:24:12Z</dcterms:modified>
</cp:coreProperties>
</file>