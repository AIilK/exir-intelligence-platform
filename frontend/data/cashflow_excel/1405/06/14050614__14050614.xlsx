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c5.WWW\Desktop\"/>
    </mc:Choice>
  </mc:AlternateContent>
  <xr:revisionPtr revIDLastSave="0" documentId="13_ncr:1_{3D7DF257-1F51-42E5-8B2C-B716B43D4444}" xr6:coauthVersionLast="47" xr6:coauthVersionMax="47" xr10:uidLastSave="{00000000-0000-0000-0000-000000000000}"/>
  <bookViews>
    <workbookView xWindow="-120" yWindow="-120" windowWidth="24240" windowHeight="13140" activeTab="2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Print_Area" localSheetId="1">Sheet2!$A$1:$G$13</definedName>
    <definedName name="_xlnm.Print_Area" localSheetId="2">Sheet3!$A$1:$G$29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9" i="3" l="1"/>
  <c r="F29" i="3"/>
  <c r="G5" i="3"/>
  <c r="H16" i="1"/>
  <c r="G11" i="2"/>
  <c r="G10" i="2"/>
  <c r="G9" i="2"/>
  <c r="G4" i="2"/>
  <c r="H7" i="1"/>
  <c r="F26" i="1"/>
  <c r="H25" i="1"/>
  <c r="H21" i="1"/>
  <c r="H18" i="1"/>
  <c r="H13" i="1"/>
  <c r="H10" i="1"/>
  <c r="H6" i="1"/>
  <c r="H5" i="1"/>
  <c r="B128" i="4"/>
  <c r="B119" i="4"/>
  <c r="B98" i="4"/>
  <c r="B104" i="4"/>
  <c r="H8" i="1"/>
  <c r="H9" i="1"/>
  <c r="H11" i="1"/>
  <c r="H14" i="1"/>
  <c r="H15" i="1"/>
  <c r="H17" i="1"/>
  <c r="H20" i="1"/>
  <c r="H22" i="1"/>
  <c r="H23" i="1"/>
  <c r="H24" i="1"/>
  <c r="E26" i="1"/>
  <c r="D26" i="1"/>
  <c r="G5" i="2"/>
  <c r="G6" i="2"/>
  <c r="G7" i="2"/>
  <c r="G8" i="2"/>
  <c r="G12" i="2"/>
  <c r="D13" i="2"/>
  <c r="G28" i="3"/>
  <c r="G27" i="3"/>
  <c r="G26" i="3"/>
  <c r="G25" i="3"/>
  <c r="G24" i="3"/>
  <c r="G23" i="3"/>
  <c r="G22" i="3"/>
  <c r="G21" i="3"/>
  <c r="G20" i="3"/>
  <c r="G19" i="3"/>
  <c r="G18" i="3"/>
  <c r="G17" i="3"/>
  <c r="G15" i="3"/>
  <c r="G16" i="3"/>
  <c r="G14" i="3"/>
  <c r="G13" i="3"/>
  <c r="G12" i="3"/>
  <c r="G11" i="3"/>
  <c r="G10" i="3"/>
  <c r="G9" i="3"/>
  <c r="G8" i="3"/>
  <c r="G7" i="3"/>
  <c r="G6" i="3"/>
  <c r="G4" i="3"/>
  <c r="E29" i="3"/>
  <c r="F27" i="1" l="1"/>
  <c r="H26" i="1"/>
  <c r="G13" i="2"/>
  <c r="G29" i="3"/>
  <c r="B84" i="4"/>
  <c r="H52" i="4" l="1"/>
  <c r="E13" i="2" l="1"/>
</calcChain>
</file>

<file path=xl/sharedStrings.xml><?xml version="1.0" encoding="utf-8"?>
<sst xmlns="http://schemas.openxmlformats.org/spreadsheetml/2006/main" count="293" uniqueCount="182">
  <si>
    <t>کد</t>
  </si>
  <si>
    <t>نام بانک</t>
  </si>
  <si>
    <t>موجودی</t>
  </si>
  <si>
    <t>مانده</t>
  </si>
  <si>
    <t>انصار - اکسیر کادوس 5565</t>
  </si>
  <si>
    <t>سپه اشتهارد 190125- اکسیر کادوس</t>
  </si>
  <si>
    <t>سپه اشتهارد 925800143607- فراز بهداشت</t>
  </si>
  <si>
    <t>سپه 1852800175112- اکسیر کادوس</t>
  </si>
  <si>
    <t>کادوس</t>
  </si>
  <si>
    <t>سپه 1852800175009- کادوس</t>
  </si>
  <si>
    <t>سپه اشتهارد 77753- کادوس</t>
  </si>
  <si>
    <t xml:space="preserve">تجارت - اکسیر کادوس </t>
  </si>
  <si>
    <t xml:space="preserve">تجارت - فراز بهداشت </t>
  </si>
  <si>
    <t xml:space="preserve">ملت دستگردی- کادوس </t>
  </si>
  <si>
    <t>حسابهای غیر رسمی</t>
  </si>
  <si>
    <t>صادرات 0212012544004- پشتیبان
0107737087007- حساب دسته چک</t>
  </si>
  <si>
    <t>صادرات  0103591223000  - ناصر علیزاده</t>
  </si>
  <si>
    <t>سپه اشتهارد 96659- نادر علیزاده</t>
  </si>
  <si>
    <t>تجارت - نادر علیزاده</t>
  </si>
  <si>
    <t xml:space="preserve">مانده </t>
  </si>
  <si>
    <t>صادرات - خودروسازان - 0112779955005 - زرين كالاي كادوس</t>
  </si>
  <si>
    <t>ملت - جاري -  9203348030 -  وحيد دستگري - زرين كالای کادوس</t>
  </si>
  <si>
    <t>جمع</t>
  </si>
  <si>
    <t>صادرات 0211595176002-
 کوتاه مدت</t>
  </si>
  <si>
    <t>صادرات 0115279540009 -
 نادر علیزاده</t>
  </si>
  <si>
    <t>سپه - فراز بهداشت 3100024997385</t>
  </si>
  <si>
    <t>سپه 3101065165574-تنخواه اکسیر</t>
  </si>
  <si>
    <t>سپه 3101065266475 فراز بهداشت</t>
  </si>
  <si>
    <t>سپه 3101065169035 کادوس</t>
  </si>
  <si>
    <t>ملت 9855163532فراز دستگردی</t>
  </si>
  <si>
    <t>ملت 9855267868 دستگردی</t>
  </si>
  <si>
    <t>پاسارگاد مشترک 352100448951</t>
  </si>
  <si>
    <t>اقساط وام</t>
  </si>
  <si>
    <t xml:space="preserve">شماره چک </t>
  </si>
  <si>
    <t>مبلغ</t>
  </si>
  <si>
    <t>تاریخ سررسید</t>
  </si>
  <si>
    <t>1403/02/01</t>
  </si>
  <si>
    <t>1403/04/01</t>
  </si>
  <si>
    <t>1403/10/01</t>
  </si>
  <si>
    <t>1403/08/01</t>
  </si>
  <si>
    <t>1403/11/01</t>
  </si>
  <si>
    <t>1403/12/01</t>
  </si>
  <si>
    <t>گیرنده</t>
  </si>
  <si>
    <t>بازرگانی سامان امدیشان امرتات</t>
  </si>
  <si>
    <t>1402/11/15</t>
  </si>
  <si>
    <t>عادل احمدیان</t>
  </si>
  <si>
    <t>سپه 1852300851508 کادوس</t>
  </si>
  <si>
    <t>فراز بهداشت</t>
  </si>
  <si>
    <t>سپه - میرداماد - 3101096933924 زرین کالای کادوس اینترنتی</t>
  </si>
  <si>
    <r>
      <t xml:space="preserve">سپه - میرداماد - 3101096934107 زرین کالای کادوس </t>
    </r>
    <r>
      <rPr>
        <b/>
        <sz val="12"/>
        <color theme="1"/>
        <rFont val="B Nazanin"/>
        <charset val="178"/>
      </rPr>
      <t>زنجیره ای</t>
    </r>
  </si>
  <si>
    <t>پورسانت حیدریان</t>
  </si>
  <si>
    <t>2/000/000/000</t>
  </si>
  <si>
    <t>1403/05/10</t>
  </si>
  <si>
    <t>حیدریان</t>
  </si>
  <si>
    <t>1/500/000/000</t>
  </si>
  <si>
    <t>1403/06/11</t>
  </si>
  <si>
    <t>1403/07/26</t>
  </si>
  <si>
    <t>کارامد</t>
  </si>
  <si>
    <t>سپه - میرداماد - 3120087277401  زرین کالای کادوس هیبرید یزد</t>
  </si>
  <si>
    <t>سپه - میرداماد - 3101070885571 زرین کالای کادوس هیبرید مازندران</t>
  </si>
  <si>
    <t>سپه - میرداماد - 3120087371575  زرین کالای کادوس هیبرید رشت</t>
  </si>
  <si>
    <t>مالیات زرین</t>
  </si>
  <si>
    <t>1403/06/08</t>
  </si>
  <si>
    <t>دارایی مترو</t>
  </si>
  <si>
    <t>1403/07/08</t>
  </si>
  <si>
    <t>1403/08/08</t>
  </si>
  <si>
    <t>463.790.000</t>
  </si>
  <si>
    <t>69.556.000</t>
  </si>
  <si>
    <t>چک پارسیان  قرارداد زرین کالا با هایپرمی</t>
  </si>
  <si>
    <t>سپه - فراز بهداشت 925301385505</t>
  </si>
  <si>
    <t>سپه اشتهارد 925620332245- نادر علیزاده</t>
  </si>
  <si>
    <t>سپه - میرداماد - 3120095065261 زرین کالای کادوس هیبرید اراک</t>
  </si>
  <si>
    <t>شماره کارت مجازی هیبرید اراک</t>
  </si>
  <si>
    <t>5892-1070-4720-7250</t>
  </si>
  <si>
    <t>سپه - میرداماد - 3120096986433 زرین کالای کادوس هیبرید اصفهان</t>
  </si>
  <si>
    <t>سپه-میرداماد- 3120107938442 زرین کالای کادوس هیبرید اصفهان فخری</t>
  </si>
  <si>
    <t>1404/05/23</t>
  </si>
  <si>
    <t>رزتی</t>
  </si>
  <si>
    <t>1404/07/23</t>
  </si>
  <si>
    <t>سپه - میرداماد - 3101108755577 زرین کالای کادوس هیبرید کرمان زند</t>
  </si>
  <si>
    <t xml:space="preserve">داده پردازی کارآمد </t>
  </si>
  <si>
    <t>1404/04/28</t>
  </si>
  <si>
    <t>داده پردازی</t>
  </si>
  <si>
    <t>1404/05/21</t>
  </si>
  <si>
    <t>سپه - میرداماد - 3100036981940 زرین کالای کادوس انبار پخش</t>
  </si>
  <si>
    <t>سپه - میرداماد - 3101109023080 زرین کالای کادوس هیبرید اردبیل جعفری</t>
  </si>
  <si>
    <t>سپه - میرداماد - 2001251755134 زرین کالای کادوس هیبریدسنندج  امجدی</t>
  </si>
  <si>
    <t>1404/08/23</t>
  </si>
  <si>
    <t>1404/09/23</t>
  </si>
  <si>
    <t>1404/06/21</t>
  </si>
  <si>
    <t>1404/08/16</t>
  </si>
  <si>
    <t>شهر 1001000836316دستگردی</t>
  </si>
  <si>
    <t>1404/06/31</t>
  </si>
  <si>
    <t>سامان کانتین</t>
  </si>
  <si>
    <t>1404/08/17</t>
  </si>
  <si>
    <t>1404/10/23</t>
  </si>
  <si>
    <t>1404/11/23</t>
  </si>
  <si>
    <t>1404/12/23</t>
  </si>
  <si>
    <t>1405/01/23</t>
  </si>
  <si>
    <t>1405/02/23</t>
  </si>
  <si>
    <t>1404/09/26</t>
  </si>
  <si>
    <t>سپه - میرداماد - 2001295236331 زرین کالای کادوس هیبرید قم محمد زاده</t>
  </si>
  <si>
    <t>سپه - میرداماد - 2001295231852 زرین کالای کادوس هیبرید بوشهر بیداری</t>
  </si>
  <si>
    <t>سپه - میرداماد - 2001295229237 زرین کالای کادوس هیبرید کرمانشاه مرادی</t>
  </si>
  <si>
    <t>سپه - میرداماد - 2001295226373 زرین کالای کادوس هیبرید همدان صفری</t>
  </si>
  <si>
    <t>سپه - میرداماد - 2001295223263 زرین کالای کادوس هیبرید البرز حیدریان</t>
  </si>
  <si>
    <t>سپه - میرداماد - 2001295220012 زرین کالای کادوس هیبرید قزوین پیمان قاسمی</t>
  </si>
  <si>
    <t>سپه - میرداماد - 2001295211128 زرین کالای کادوس هیبرید مشهد آرش قاسمی</t>
  </si>
  <si>
    <t>سپه میرداماد-میثاق
 3001295833656 - کادوس</t>
  </si>
  <si>
    <t>تجارت - ناصر علیزاده</t>
  </si>
  <si>
    <t>1404/09/24</t>
  </si>
  <si>
    <t>ملت8030</t>
  </si>
  <si>
    <t>سپه - میرداماد -2001302163593  زرین کالای کادوس هیبرید تهران شرق نوروزی</t>
  </si>
  <si>
    <t>اکسیر</t>
  </si>
  <si>
    <t>پارسیان</t>
  </si>
  <si>
    <t>ملت</t>
  </si>
  <si>
    <t>سپه</t>
  </si>
  <si>
    <t>1405/01/20</t>
  </si>
  <si>
    <t>1405/01/24</t>
  </si>
  <si>
    <t>1405/01/27</t>
  </si>
  <si>
    <t>1405/01/30</t>
  </si>
  <si>
    <t>1405/02/06</t>
  </si>
  <si>
    <t>1405/02/08</t>
  </si>
  <si>
    <t>1405/02/11</t>
  </si>
  <si>
    <t>1405/02/13</t>
  </si>
  <si>
    <t>1405/02/14</t>
  </si>
  <si>
    <t>1405/02/16</t>
  </si>
  <si>
    <t>1405/02/26</t>
  </si>
  <si>
    <t>1405/02/27</t>
  </si>
  <si>
    <t>1405/03/06</t>
  </si>
  <si>
    <t>1405/03/08</t>
  </si>
  <si>
    <t>1405/03/11</t>
  </si>
  <si>
    <t>1405/03/14</t>
  </si>
  <si>
    <t>1405/03/16</t>
  </si>
  <si>
    <t>1405/03/19</t>
  </si>
  <si>
    <t>1405/03/21</t>
  </si>
  <si>
    <t>1405/03/24</t>
  </si>
  <si>
    <t>1405/03/27</t>
  </si>
  <si>
    <t>1405/03/12</t>
  </si>
  <si>
    <t>1404/10/20</t>
  </si>
  <si>
    <t>نجم خاورمیانه</t>
  </si>
  <si>
    <t>تهیه کننده: علیرضا حاتمی ملکی</t>
  </si>
  <si>
    <t>1404/09/20</t>
  </si>
  <si>
    <t xml:space="preserve">سپه - میرداماد - 2001296887082 زرین کالای کادوس </t>
  </si>
  <si>
    <t>پژمان حیدری</t>
  </si>
  <si>
    <t>1405/01/15</t>
  </si>
  <si>
    <t>1405/02/02</t>
  </si>
  <si>
    <t>تسویه سلیمانی</t>
  </si>
  <si>
    <t>1405/02/21</t>
  </si>
  <si>
    <t>1405/04/16</t>
  </si>
  <si>
    <t>کارآمد سیستم</t>
  </si>
  <si>
    <t>پارسیان مهرشهر کرج - 20100275449603 - جاری - زرین کالای کادوس</t>
  </si>
  <si>
    <t>تجارت خلاق هدف</t>
  </si>
  <si>
    <t>1405/03/31</t>
  </si>
  <si>
    <t>1405/04/31</t>
  </si>
  <si>
    <t xml:space="preserve"> سپه</t>
  </si>
  <si>
    <t>1405/08/06</t>
  </si>
  <si>
    <t>1405/07/26</t>
  </si>
  <si>
    <t>1405/07/18</t>
  </si>
  <si>
    <t>1405/07/14</t>
  </si>
  <si>
    <t>1405/07/21</t>
  </si>
  <si>
    <t>1405/08/11</t>
  </si>
  <si>
    <t>1405/06/22</t>
  </si>
  <si>
    <t>1405/07/08</t>
  </si>
  <si>
    <t>1405/07/06</t>
  </si>
  <si>
    <t>1405/07/13</t>
  </si>
  <si>
    <t>1405/06/24</t>
  </si>
  <si>
    <t>1405/07/11</t>
  </si>
  <si>
    <t>1405/06/04</t>
  </si>
  <si>
    <t>1405/06/08</t>
  </si>
  <si>
    <t>1405/06/14</t>
  </si>
  <si>
    <t>1405/06/18</t>
  </si>
  <si>
    <t>1405/06/21</t>
  </si>
  <si>
    <t>چک های در راه</t>
  </si>
  <si>
    <t>چک های پاس نشده از قبل</t>
  </si>
  <si>
    <t>جمع کل چک های پرداختی=</t>
  </si>
  <si>
    <t>سپه - میرداماد - 2001295239129 زرین کالای کادوس هیبرید ارومیه خمویی</t>
  </si>
  <si>
    <t>سیمای هنر و صنعت کیش</t>
  </si>
  <si>
    <t>1405/07/10</t>
  </si>
  <si>
    <t xml:space="preserve">              تاریخ:1405/06/14 </t>
  </si>
  <si>
    <t>چک های پرداختی قبل ازتاریخ 05/06/14</t>
  </si>
  <si>
    <t>چک های پرداختنی
تا تاریخ 05/06/17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</si>
</sst>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ريال&quot;\ * #,##0_-;_-&quot;ريال&quot;\ * #,##0\-;_-&quot;ريال&quot;\ * &quot;-&quot;_-;_-@_-"/>
    <numFmt numFmtId="165" formatCode="_-* #,##0.00_-;_-* #,##0.00\-;_-* &quot;-&quot;??_-;_-@_-"/>
    <numFmt numFmtId="166" formatCode="_-* #,##0_-;_-* #,##0\-;_-* &quot;-&quot;??_-;_-@_-"/>
    <numFmt numFmtId="167" formatCode="#,##0_ ;\-#,##0\ "/>
  </numFmts>
  <fonts count="37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0"/>
      <color rgb="FF000000"/>
      <name val="Arial"/>
      <family val="2"/>
      <charset val="178"/>
      <scheme val="minor"/>
    </font>
    <font>
      <sz val="16"/>
      <color theme="1"/>
      <name val="Arial"/>
      <family val="2"/>
      <charset val="178"/>
      <scheme val="minor"/>
    </font>
    <font>
      <b/>
      <sz val="14"/>
      <color theme="1"/>
      <name val="Arial"/>
      <family val="2"/>
      <charset val="178"/>
      <scheme val="minor"/>
    </font>
    <font>
      <sz val="11"/>
      <color theme="1"/>
      <name val="Compset"/>
      <charset val="178"/>
    </font>
    <font>
      <sz val="11"/>
      <color theme="1"/>
      <name val="B Nazanin"/>
      <charset val="178"/>
    </font>
    <font>
      <sz val="16"/>
      <color theme="1"/>
      <name val="B Nazanin"/>
      <charset val="178"/>
    </font>
    <font>
      <b/>
      <sz val="11"/>
      <color theme="1"/>
      <name val="B Nazanin"/>
      <charset val="178"/>
    </font>
    <font>
      <b/>
      <sz val="18"/>
      <color theme="1"/>
      <name val="B Nazanin"/>
      <charset val="178"/>
    </font>
    <font>
      <sz val="11"/>
      <color theme="1"/>
      <name val="Badr"/>
      <charset val="178"/>
    </font>
    <font>
      <b/>
      <sz val="14"/>
      <color theme="1"/>
      <name val="B Nazanin"/>
      <charset val="178"/>
    </font>
    <font>
      <b/>
      <sz val="16"/>
      <color theme="1"/>
      <name val="Compset"/>
      <charset val="178"/>
    </font>
    <font>
      <sz val="16"/>
      <color theme="1"/>
      <name val="Compset"/>
      <charset val="178"/>
    </font>
    <font>
      <sz val="20"/>
      <color theme="1"/>
      <name val="Compset"/>
      <charset val="178"/>
    </font>
    <font>
      <sz val="22"/>
      <color theme="1"/>
      <name val="Compset"/>
      <charset val="178"/>
    </font>
    <font>
      <b/>
      <sz val="24"/>
      <color theme="1"/>
      <name val="Compset"/>
      <charset val="178"/>
    </font>
    <font>
      <b/>
      <sz val="16"/>
      <color theme="1"/>
      <name val="B Nazanin"/>
      <charset val="178"/>
    </font>
    <font>
      <b/>
      <sz val="24"/>
      <color theme="1"/>
      <name val="B Nazanin"/>
      <charset val="178"/>
    </font>
    <font>
      <b/>
      <sz val="20"/>
      <name val="B Nazanin"/>
      <charset val="178"/>
    </font>
    <font>
      <b/>
      <sz val="22"/>
      <name val="B Nazanin"/>
      <charset val="178"/>
    </font>
    <font>
      <b/>
      <sz val="24"/>
      <name val="B Nazanin"/>
      <charset val="178"/>
    </font>
    <font>
      <b/>
      <sz val="22"/>
      <color theme="1"/>
      <name val="B Nazanin"/>
      <charset val="178"/>
    </font>
    <font>
      <b/>
      <sz val="20"/>
      <color theme="1"/>
      <name val="B Nazanin"/>
      <charset val="178"/>
    </font>
    <font>
      <sz val="14"/>
      <color theme="1"/>
      <name val="B Nazanin"/>
      <charset val="178"/>
    </font>
    <font>
      <b/>
      <sz val="18"/>
      <name val="B Nazanin"/>
      <charset val="178"/>
    </font>
    <font>
      <b/>
      <sz val="10"/>
      <color theme="1"/>
      <name val="B Nazanin"/>
      <charset val="178"/>
    </font>
    <font>
      <b/>
      <sz val="18"/>
      <color rgb="FF333333"/>
      <name val="B Nazanin"/>
      <charset val="178"/>
    </font>
    <font>
      <sz val="14"/>
      <color theme="1"/>
      <name val="Arial"/>
      <family val="2"/>
      <charset val="178"/>
      <scheme val="minor"/>
    </font>
    <font>
      <sz val="18"/>
      <color theme="1"/>
      <name val="Arial"/>
      <family val="2"/>
      <charset val="178"/>
      <scheme val="minor"/>
    </font>
    <font>
      <sz val="10"/>
      <color rgb="FF212529"/>
      <name val="Tahoma"/>
      <family val="2"/>
    </font>
    <font>
      <b/>
      <sz val="12"/>
      <color theme="1"/>
      <name val="B Nazanin"/>
      <charset val="178"/>
    </font>
    <font>
      <sz val="26"/>
      <color theme="1"/>
      <name val="Arial"/>
      <family val="2"/>
      <charset val="178"/>
    </font>
    <font>
      <b/>
      <sz val="18"/>
      <color theme="1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0"/>
      <color rgb="FF008000"/>
      <name val="Tahoma"/>
      <family val="2"/>
    </font>
    <font>
      <sz val="8"/>
      <name val="Arial"/>
      <family val="2"/>
      <charset val="17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2" fillId="0" borderId="0">
      <alignment horizontal="center" vertical="center"/>
    </xf>
  </cellStyleXfs>
  <cellXfs count="119">
    <xf numFmtId="0" fontId="0" fillId="0" borderId="0" xfId="0"/>
    <xf numFmtId="0" fontId="7" fillId="0" borderId="0" xfId="0" applyFont="1"/>
    <xf numFmtId="0" fontId="3" fillId="0" borderId="0" xfId="0" applyFont="1"/>
    <xf numFmtId="0" fontId="28" fillId="0" borderId="0" xfId="0" applyFont="1" applyAlignment="1">
      <alignment horizontal="center" vertical="center"/>
    </xf>
    <xf numFmtId="0" fontId="0" fillId="2" borderId="0" xfId="0" applyFill="1"/>
    <xf numFmtId="3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6" fillId="0" borderId="0" xfId="0" applyFont="1"/>
    <xf numFmtId="0" fontId="6" fillId="0" borderId="1" xfId="0" applyFont="1" applyBorder="1" applyAlignment="1">
      <alignment vertical="center"/>
    </xf>
    <xf numFmtId="0" fontId="17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17" fillId="0" borderId="0" xfId="0" applyFont="1" applyAlignment="1">
      <alignment horizontal="center" vertical="center"/>
    </xf>
    <xf numFmtId="3" fontId="22" fillId="0" borderId="0" xfId="0" applyNumberFormat="1" applyFont="1" applyAlignment="1">
      <alignment horizontal="center"/>
    </xf>
    <xf numFmtId="0" fontId="5" fillId="0" borderId="0" xfId="0" applyFont="1" applyAlignment="1">
      <alignment vertical="center"/>
    </xf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14" fillId="0" borderId="0" xfId="0" applyNumberFormat="1" applyFont="1"/>
    <xf numFmtId="3" fontId="16" fillId="0" borderId="0" xfId="0" applyNumberFormat="1" applyFont="1"/>
    <xf numFmtId="3" fontId="15" fillId="0" borderId="0" xfId="0" applyNumberFormat="1" applyFont="1"/>
    <xf numFmtId="0" fontId="8" fillId="0" borderId="1" xfId="0" applyFont="1" applyBorder="1" applyAlignment="1">
      <alignment horizontal="center" vertical="center" wrapText="1"/>
    </xf>
    <xf numFmtId="0" fontId="11" fillId="0" borderId="0" xfId="0" applyFont="1"/>
    <xf numFmtId="0" fontId="4" fillId="0" borderId="0" xfId="0" applyFont="1"/>
    <xf numFmtId="166" fontId="25" fillId="0" borderId="1" xfId="1" applyNumberFormat="1" applyFont="1" applyFill="1" applyBorder="1" applyAlignment="1">
      <alignment horizontal="center" vertical="center" wrapText="1" shrinkToFit="1"/>
    </xf>
    <xf numFmtId="3" fontId="9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/>
    </xf>
    <xf numFmtId="166" fontId="5" fillId="0" borderId="0" xfId="1" applyNumberFormat="1" applyFont="1" applyFill="1"/>
    <xf numFmtId="166" fontId="5" fillId="0" borderId="0" xfId="1" applyNumberFormat="1" applyFont="1" applyFill="1" applyAlignment="1">
      <alignment horizontal="center" vertical="center"/>
    </xf>
    <xf numFmtId="0" fontId="5" fillId="0" borderId="0" xfId="0" applyFont="1"/>
    <xf numFmtId="0" fontId="8" fillId="0" borderId="5" xfId="0" applyFont="1" applyBorder="1" applyAlignment="1">
      <alignment horizontal="center" vertical="center"/>
    </xf>
    <xf numFmtId="167" fontId="9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0" borderId="0" xfId="0" applyFont="1"/>
    <xf numFmtId="3" fontId="18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 vertical="center" wrapText="1" shrinkToFit="1"/>
    </xf>
    <xf numFmtId="3" fontId="18" fillId="0" borderId="1" xfId="0" applyNumberFormat="1" applyFont="1" applyBorder="1" applyAlignment="1">
      <alignment horizontal="center" vertical="center" wrapText="1" shrinkToFit="1"/>
    </xf>
    <xf numFmtId="3" fontId="17" fillId="0" borderId="1" xfId="0" applyNumberFormat="1" applyFont="1" applyBorder="1" applyAlignment="1">
      <alignment horizontal="center" vertical="center" wrapText="1" shrinkToFit="1"/>
    </xf>
    <xf numFmtId="3" fontId="25" fillId="0" borderId="1" xfId="0" applyNumberFormat="1" applyFont="1" applyBorder="1" applyAlignment="1">
      <alignment horizontal="center" vertical="center" wrapText="1" shrinkToFit="1"/>
    </xf>
    <xf numFmtId="166" fontId="25" fillId="0" borderId="1" xfId="1" applyNumberFormat="1" applyFont="1" applyFill="1" applyBorder="1" applyAlignment="1">
      <alignment horizontal="center" vertical="center" shrinkToFit="1"/>
    </xf>
    <xf numFmtId="3" fontId="25" fillId="0" borderId="1" xfId="0" applyNumberFormat="1" applyFont="1" applyBorder="1" applyAlignment="1">
      <alignment horizontal="center" vertical="center" shrinkToFit="1"/>
    </xf>
    <xf numFmtId="164" fontId="9" fillId="0" borderId="5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  <xf numFmtId="0" fontId="3" fillId="0" borderId="8" xfId="0" applyFont="1" applyBorder="1"/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shrinkToFit="1"/>
    </xf>
    <xf numFmtId="0" fontId="26" fillId="0" borderId="1" xfId="0" applyFont="1" applyBorder="1" applyAlignment="1">
      <alignment vertical="center"/>
    </xf>
    <xf numFmtId="0" fontId="23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67" fontId="9" fillId="4" borderId="1" xfId="0" applyNumberFormat="1" applyFont="1" applyFill="1" applyBorder="1" applyAlignment="1">
      <alignment horizontal="center" vertical="center"/>
    </xf>
    <xf numFmtId="3" fontId="22" fillId="0" borderId="1" xfId="0" applyNumberFormat="1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 wrapText="1" shrinkToFit="1"/>
    </xf>
    <xf numFmtId="3" fontId="19" fillId="4" borderId="1" xfId="0" applyNumberFormat="1" applyFont="1" applyFill="1" applyBorder="1" applyAlignment="1">
      <alignment horizontal="center" vertical="center" wrapText="1" shrinkToFit="1"/>
    </xf>
    <xf numFmtId="3" fontId="20" fillId="4" borderId="1" xfId="0" applyNumberFormat="1" applyFont="1" applyFill="1" applyBorder="1" applyAlignment="1">
      <alignment horizontal="center" vertical="center" wrapText="1" shrinkToFit="1"/>
    </xf>
    <xf numFmtId="3" fontId="21" fillId="4" borderId="1" xfId="0" applyNumberFormat="1" applyFont="1" applyFill="1" applyBorder="1" applyAlignment="1">
      <alignment horizontal="center" vertical="center" wrapText="1" shrinkToFit="1"/>
    </xf>
    <xf numFmtId="0" fontId="9" fillId="4" borderId="5" xfId="0" applyFont="1" applyFill="1" applyBorder="1" applyAlignment="1">
      <alignment horizontal="center" vertical="center" wrapText="1"/>
    </xf>
    <xf numFmtId="3" fontId="19" fillId="4" borderId="5" xfId="0" applyNumberFormat="1" applyFont="1" applyFill="1" applyBorder="1" applyAlignment="1">
      <alignment horizontal="center" vertical="center" wrapText="1" shrinkToFit="1"/>
    </xf>
    <xf numFmtId="3" fontId="20" fillId="4" borderId="5" xfId="0" applyNumberFormat="1" applyFont="1" applyFill="1" applyBorder="1" applyAlignment="1">
      <alignment horizontal="center" vertical="center" wrapText="1" shrinkToFit="1"/>
    </xf>
    <xf numFmtId="0" fontId="8" fillId="0" borderId="5" xfId="0" applyFont="1" applyBorder="1" applyAlignment="1">
      <alignment horizontal="center" vertical="center" wrapText="1"/>
    </xf>
    <xf numFmtId="0" fontId="24" fillId="0" borderId="5" xfId="0" applyFont="1" applyBorder="1" applyAlignment="1">
      <alignment horizontal="center" vertical="center" wrapText="1" shrinkToFit="1"/>
    </xf>
    <xf numFmtId="166" fontId="24" fillId="0" borderId="5" xfId="1" applyNumberFormat="1" applyFont="1" applyFill="1" applyBorder="1" applyAlignment="1">
      <alignment horizontal="center" vertical="center" wrapText="1" shrinkToFit="1"/>
    </xf>
    <xf numFmtId="3" fontId="0" fillId="2" borderId="0" xfId="0" applyNumberFormat="1" applyFill="1" applyAlignment="1">
      <alignment horizontal="left" vertical="top"/>
    </xf>
    <xf numFmtId="167" fontId="6" fillId="0" borderId="0" xfId="0" applyNumberFormat="1" applyFont="1"/>
    <xf numFmtId="0" fontId="6" fillId="4" borderId="1" xfId="0" applyFont="1" applyFill="1" applyBorder="1" applyAlignment="1">
      <alignment vertical="center"/>
    </xf>
    <xf numFmtId="0" fontId="17" fillId="4" borderId="1" xfId="0" applyFont="1" applyFill="1" applyBorder="1" applyAlignment="1">
      <alignment horizontal="center" vertical="center"/>
    </xf>
    <xf numFmtId="3" fontId="22" fillId="4" borderId="1" xfId="0" applyNumberFormat="1" applyFont="1" applyFill="1" applyBorder="1" applyAlignment="1">
      <alignment horizontal="center"/>
    </xf>
    <xf numFmtId="3" fontId="18" fillId="4" borderId="1" xfId="0" applyNumberFormat="1" applyFont="1" applyFill="1" applyBorder="1" applyAlignment="1">
      <alignment horizontal="center"/>
    </xf>
    <xf numFmtId="166" fontId="25" fillId="4" borderId="1" xfId="1" applyNumberFormat="1" applyFont="1" applyFill="1" applyBorder="1" applyAlignment="1">
      <alignment horizontal="center" vertical="center" wrapText="1" shrinkToFit="1"/>
    </xf>
    <xf numFmtId="3" fontId="0" fillId="0" borderId="0" xfId="0" applyNumberFormat="1"/>
    <xf numFmtId="0" fontId="6" fillId="0" borderId="1" xfId="0" applyFont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166" fontId="0" fillId="2" borderId="0" xfId="1" applyNumberFormat="1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6" fontId="0" fillId="4" borderId="1" xfId="1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6" fontId="0" fillId="2" borderId="1" xfId="1" applyNumberFormat="1" applyFont="1" applyFill="1" applyBorder="1" applyAlignment="1">
      <alignment horizontal="center" vertical="center"/>
    </xf>
    <xf numFmtId="166" fontId="0" fillId="0" borderId="0" xfId="0" applyNumberFormat="1"/>
    <xf numFmtId="0" fontId="0" fillId="2" borderId="1" xfId="0" applyFill="1" applyBorder="1"/>
    <xf numFmtId="167" fontId="10" fillId="0" borderId="0" xfId="0" applyNumberFormat="1" applyFont="1"/>
    <xf numFmtId="3" fontId="30" fillId="4" borderId="1" xfId="0" applyNumberFormat="1" applyFont="1" applyFill="1" applyBorder="1"/>
    <xf numFmtId="0" fontId="0" fillId="0" borderId="1" xfId="0" applyBorder="1"/>
    <xf numFmtId="0" fontId="0" fillId="6" borderId="1" xfId="0" applyFill="1" applyBorder="1" applyAlignment="1">
      <alignment horizontal="center" vertical="center"/>
    </xf>
    <xf numFmtId="166" fontId="0" fillId="6" borderId="1" xfId="1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66" fontId="0" fillId="4" borderId="0" xfId="1" applyNumberFormat="1" applyFont="1" applyFill="1" applyBorder="1" applyAlignment="1">
      <alignment horizontal="center" vertical="center"/>
    </xf>
    <xf numFmtId="0" fontId="23" fillId="3" borderId="1" xfId="0" applyFont="1" applyFill="1" applyBorder="1" applyAlignment="1">
      <alignment vertical="center"/>
    </xf>
    <xf numFmtId="0" fontId="17" fillId="3" borderId="1" xfId="0" applyFont="1" applyFill="1" applyBorder="1" applyAlignment="1">
      <alignment horizontal="center"/>
    </xf>
    <xf numFmtId="0" fontId="35" fillId="0" borderId="1" xfId="0" applyFont="1" applyBorder="1"/>
    <xf numFmtId="3" fontId="22" fillId="4" borderId="9" xfId="0" applyNumberFormat="1" applyFont="1" applyFill="1" applyBorder="1" applyAlignment="1">
      <alignment horizontal="center"/>
    </xf>
    <xf numFmtId="3" fontId="23" fillId="4" borderId="9" xfId="0" applyNumberFormat="1" applyFont="1" applyFill="1" applyBorder="1" applyAlignment="1">
      <alignment horizontal="center"/>
    </xf>
    <xf numFmtId="3" fontId="23" fillId="0" borderId="12" xfId="0" applyNumberFormat="1" applyFont="1" applyBorder="1" applyAlignment="1">
      <alignment horizontal="center" vertical="center"/>
    </xf>
    <xf numFmtId="0" fontId="23" fillId="5" borderId="2" xfId="0" applyFont="1" applyFill="1" applyBorder="1" applyAlignment="1">
      <alignment horizontal="center" vertical="center"/>
    </xf>
    <xf numFmtId="0" fontId="23" fillId="5" borderId="4" xfId="0" applyFont="1" applyFill="1" applyBorder="1" applyAlignment="1">
      <alignment horizontal="center" vertical="center"/>
    </xf>
    <xf numFmtId="0" fontId="23" fillId="3" borderId="6" xfId="0" applyFont="1" applyFill="1" applyBorder="1" applyAlignment="1">
      <alignment horizontal="center" vertical="center"/>
    </xf>
    <xf numFmtId="0" fontId="23" fillId="3" borderId="0" xfId="0" applyFont="1" applyFill="1" applyAlignment="1">
      <alignment horizontal="center" vertical="center"/>
    </xf>
    <xf numFmtId="0" fontId="23" fillId="3" borderId="7" xfId="0" applyFont="1" applyFill="1" applyBorder="1" applyAlignment="1">
      <alignment horizontal="center" vertical="center"/>
    </xf>
    <xf numFmtId="0" fontId="23" fillId="5" borderId="1" xfId="0" applyFont="1" applyFill="1" applyBorder="1" applyAlignment="1">
      <alignment horizontal="center" vertical="center"/>
    </xf>
    <xf numFmtId="3" fontId="23" fillId="0" borderId="10" xfId="0" applyNumberFormat="1" applyFont="1" applyBorder="1" applyAlignment="1">
      <alignment horizontal="left" vertical="center"/>
    </xf>
    <xf numFmtId="3" fontId="23" fillId="0" borderId="11" xfId="0" applyNumberFormat="1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23" fillId="5" borderId="3" xfId="0" applyFont="1" applyFill="1" applyBorder="1" applyAlignment="1">
      <alignment horizontal="center" vertical="center"/>
    </xf>
    <xf numFmtId="0" fontId="33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165" fontId="0" fillId="0" borderId="0" xfId="1" applyFont="1" applyAlignment="1">
      <alignment horizontal="center"/>
    </xf>
    <xf numFmtId="0" fontId="34" fillId="0" borderId="0" xfId="0" applyFont="1" applyAlignment="1">
      <alignment horizontal="center" vertical="center"/>
    </xf>
    <xf numFmtId="0" fontId="0" fillId="0" borderId="1" xfId="0" applyBorder="1" applyAlignment="1">
      <alignment horizontal="center"/>
    </xf>
    <xf numFmtId="3" fontId="19" fillId="2" borderId="1" xfId="0" applyNumberFormat="1" applyFont="1" applyFill="1" applyBorder="1" applyAlignment="1">
      <alignment horizontal="center" vertical="center" wrapText="1" shrinkToFit="1"/>
    </xf>
    <xf numFmtId="166" fontId="25" fillId="2" borderId="1" xfId="1" applyNumberFormat="1" applyFont="1" applyFill="1" applyBorder="1" applyAlignment="1">
      <alignment horizontal="center" vertical="center" wrapText="1" shrinkToFit="1"/>
    </xf>
    <xf numFmtId="3" fontId="27" fillId="2" borderId="1" xfId="0" applyNumberFormat="1" applyFont="1" applyFill="1" applyBorder="1" applyAlignment="1">
      <alignment horizontal="center" wrapText="1"/>
    </xf>
    <xf numFmtId="167" fontId="9" fillId="2" borderId="1" xfId="0" applyNumberFormat="1" applyFont="1" applyFill="1" applyBorder="1" applyAlignment="1">
      <alignment horizontal="center" vertical="center" wrapText="1"/>
    </xf>
    <xf numFmtId="167" fontId="9" fillId="2" borderId="1" xfId="0" applyNumberFormat="1" applyFont="1" applyFill="1" applyBorder="1" applyAlignment="1">
      <alignment horizontal="center" vertical="center"/>
    </xf>
    <xf numFmtId="167" fontId="25" fillId="2" borderId="1" xfId="0" applyNumberFormat="1" applyFont="1" applyFill="1" applyBorder="1" applyAlignment="1">
      <alignment horizontal="center" vertical="center"/>
    </xf>
  </cellXfs>
  <cellStyles count="3">
    <cellStyle name="Comma" xfId="1" builtinId="3"/>
    <cellStyle name="Normal" xfId="0" builtinId="0"/>
    <cellStyle name="S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B44"/>
  <sheetViews>
    <sheetView rightToLeft="1" view="pageBreakPreview" topLeftCell="A2" zoomScale="80" zoomScaleNormal="90" zoomScaleSheetLayoutView="80" workbookViewId="0">
      <selection activeCell="F16" sqref="F16"/>
    </sheetView>
  </sheetViews>
  <sheetFormatPr defaultRowHeight="30"/>
  <cols>
    <col min="1" max="1" width="5.5" customWidth="1"/>
    <col min="2" max="2" width="5.875" style="13" customWidth="1"/>
    <col min="3" max="3" width="36.5" style="14" customWidth="1"/>
    <col min="4" max="4" width="27" style="15" customWidth="1"/>
    <col min="5" max="5" width="25.375" style="16" customWidth="1"/>
    <col min="6" max="6" width="24.75" style="16" customWidth="1"/>
    <col min="7" max="7" width="26.25" style="17" customWidth="1"/>
    <col min="8" max="8" width="41" style="19" customWidth="1"/>
    <col min="9" max="9" width="16.25" bestFit="1" customWidth="1"/>
    <col min="10" max="10" width="18.625" bestFit="1" customWidth="1"/>
  </cols>
  <sheetData>
    <row r="1" spans="1:184" ht="30.75" hidden="1">
      <c r="A1" s="7"/>
      <c r="B1" s="10"/>
    </row>
    <row r="2" spans="1:184" ht="36" customHeight="1">
      <c r="A2" s="7"/>
      <c r="B2" s="97" t="s">
        <v>170</v>
      </c>
      <c r="C2" s="97"/>
      <c r="D2" s="97"/>
      <c r="E2" s="97"/>
      <c r="F2" s="97"/>
      <c r="G2" s="97"/>
      <c r="H2" s="97"/>
    </row>
    <row r="3" spans="1:184" ht="43.5" customHeight="1">
      <c r="A3" s="7"/>
      <c r="B3" s="21" t="s">
        <v>0</v>
      </c>
      <c r="C3" s="35" t="s">
        <v>1</v>
      </c>
      <c r="D3" s="35" t="s">
        <v>2</v>
      </c>
      <c r="E3" s="37" t="s">
        <v>180</v>
      </c>
      <c r="F3" s="37" t="s">
        <v>181</v>
      </c>
      <c r="G3" s="37" t="s">
        <v>32</v>
      </c>
      <c r="H3" s="36" t="s">
        <v>3</v>
      </c>
    </row>
    <row r="4" spans="1:184" ht="30" customHeight="1">
      <c r="A4" s="7"/>
      <c r="B4" s="86"/>
      <c r="C4" s="86"/>
      <c r="D4" s="86"/>
      <c r="E4" s="87" t="s">
        <v>174</v>
      </c>
      <c r="F4" s="87" t="s">
        <v>173</v>
      </c>
      <c r="G4" s="86"/>
      <c r="H4" s="86"/>
    </row>
    <row r="5" spans="1:184" s="2" customFormat="1" ht="39.75">
      <c r="A5" s="1"/>
      <c r="B5" s="51">
        <v>91</v>
      </c>
      <c r="C5" s="52" t="s">
        <v>11</v>
      </c>
      <c r="D5" s="113">
        <v>69206634</v>
      </c>
      <c r="E5" s="53"/>
      <c r="F5" s="53"/>
      <c r="G5" s="54"/>
      <c r="H5" s="55">
        <f>D5-E5-F5</f>
        <v>69206634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6" spans="1:184" s="2" customFormat="1" ht="39.75">
      <c r="A6" s="1"/>
      <c r="B6" s="51">
        <v>99</v>
      </c>
      <c r="C6" s="52" t="s">
        <v>4</v>
      </c>
      <c r="D6" s="113">
        <v>1138814920</v>
      </c>
      <c r="E6" s="53">
        <v>898419357</v>
      </c>
      <c r="F6" s="53"/>
      <c r="G6" s="54"/>
      <c r="H6" s="55">
        <f>D6-E6-F6</f>
        <v>240395563</v>
      </c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</row>
    <row r="7" spans="1:184" s="43" customFormat="1" ht="47.25" customHeight="1">
      <c r="A7" s="1"/>
      <c r="B7" s="51">
        <v>67</v>
      </c>
      <c r="C7" s="52" t="s">
        <v>5</v>
      </c>
      <c r="D7" s="113">
        <v>1243304229</v>
      </c>
      <c r="E7" s="53"/>
      <c r="F7" s="53"/>
      <c r="G7" s="54"/>
      <c r="H7" s="55">
        <f>D7-E7-F7</f>
        <v>1243304229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</row>
    <row r="8" spans="1:184" s="43" customFormat="1" ht="43.5" customHeight="1">
      <c r="A8" s="1"/>
      <c r="B8" s="51">
        <v>68</v>
      </c>
      <c r="C8" s="52" t="s">
        <v>7</v>
      </c>
      <c r="D8" s="113">
        <v>176485547</v>
      </c>
      <c r="E8" s="53"/>
      <c r="F8" s="53"/>
      <c r="G8" s="54"/>
      <c r="H8" s="55">
        <f t="shared" ref="H8:H11" si="0">D8-E8</f>
        <v>176485547</v>
      </c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/>
      <c r="EI8" s="2"/>
      <c r="EJ8" s="2"/>
      <c r="EK8" s="2"/>
      <c r="EL8" s="2"/>
      <c r="EM8" s="2"/>
      <c r="EN8" s="2"/>
      <c r="EO8" s="2"/>
      <c r="EP8" s="2"/>
      <c r="EQ8" s="2"/>
      <c r="ER8" s="2"/>
      <c r="ES8" s="2"/>
      <c r="ET8" s="2"/>
      <c r="EU8" s="2"/>
      <c r="EV8" s="2"/>
      <c r="EW8" s="2"/>
      <c r="EX8" s="2"/>
      <c r="EY8" s="2"/>
      <c r="EZ8" s="2"/>
      <c r="FA8" s="2"/>
      <c r="FB8" s="2"/>
      <c r="FC8" s="2"/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</row>
    <row r="9" spans="1:184" s="43" customFormat="1" ht="42.75" customHeight="1">
      <c r="A9" s="1"/>
      <c r="B9" s="51">
        <v>70</v>
      </c>
      <c r="C9" s="52" t="s">
        <v>26</v>
      </c>
      <c r="D9" s="113">
        <v>112141829</v>
      </c>
      <c r="E9" s="53"/>
      <c r="F9" s="53"/>
      <c r="G9" s="54"/>
      <c r="H9" s="55">
        <f t="shared" si="0"/>
        <v>112141829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</row>
    <row r="10" spans="1:184" s="43" customFormat="1" ht="39.75">
      <c r="A10" s="1"/>
      <c r="B10" s="51">
        <v>80</v>
      </c>
      <c r="C10" s="52" t="s">
        <v>30</v>
      </c>
      <c r="D10" s="113">
        <v>755939778</v>
      </c>
      <c r="E10" s="53">
        <v>752493936</v>
      </c>
      <c r="F10" s="53"/>
      <c r="G10" s="54"/>
      <c r="H10" s="55">
        <f>D10-E10-F10</f>
        <v>3445842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</row>
    <row r="11" spans="1:184" s="2" customFormat="1" ht="40.5" customHeight="1">
      <c r="A11" s="1"/>
      <c r="B11" s="51">
        <v>90</v>
      </c>
      <c r="C11" s="52" t="s">
        <v>91</v>
      </c>
      <c r="D11" s="113">
        <v>6100955466</v>
      </c>
      <c r="E11" s="53"/>
      <c r="F11" s="53"/>
      <c r="G11" s="54"/>
      <c r="H11" s="55">
        <f t="shared" si="0"/>
        <v>6100955466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</row>
    <row r="12" spans="1:184" s="2" customFormat="1" ht="33.75">
      <c r="A12" s="1"/>
      <c r="B12" s="94" t="s">
        <v>47</v>
      </c>
      <c r="C12" s="95"/>
      <c r="D12" s="95"/>
      <c r="E12" s="95"/>
      <c r="F12" s="95"/>
      <c r="G12" s="95"/>
      <c r="H12" s="96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</row>
    <row r="13" spans="1:184" s="2" customFormat="1" ht="47.25" customHeight="1">
      <c r="A13" s="1"/>
      <c r="B13" s="51">
        <v>92</v>
      </c>
      <c r="C13" s="52" t="s">
        <v>12</v>
      </c>
      <c r="D13" s="113">
        <v>93615375</v>
      </c>
      <c r="E13" s="53"/>
      <c r="F13" s="53"/>
      <c r="G13" s="53"/>
      <c r="H13" s="55">
        <f>D13-E13-F13</f>
        <v>93615375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</row>
    <row r="14" spans="1:184" s="2" customFormat="1" ht="39.75">
      <c r="A14" s="1"/>
      <c r="B14" s="51">
        <v>69</v>
      </c>
      <c r="C14" s="52" t="s">
        <v>69</v>
      </c>
      <c r="D14" s="113">
        <v>2348593318</v>
      </c>
      <c r="E14" s="53"/>
      <c r="F14" s="53"/>
      <c r="G14" s="54"/>
      <c r="H14" s="55">
        <f>D14-E14</f>
        <v>2348593318</v>
      </c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</row>
    <row r="15" spans="1:184" s="2" customFormat="1" ht="42" customHeight="1">
      <c r="A15" s="1"/>
      <c r="B15" s="51">
        <v>16</v>
      </c>
      <c r="C15" s="52" t="s">
        <v>25</v>
      </c>
      <c r="D15" s="113">
        <v>66295748</v>
      </c>
      <c r="E15" s="53"/>
      <c r="F15" s="53"/>
      <c r="G15" s="54"/>
      <c r="H15" s="55">
        <f>D15-E15</f>
        <v>66295748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</row>
    <row r="16" spans="1:184" s="2" customFormat="1" ht="45" customHeight="1">
      <c r="A16" s="1"/>
      <c r="B16" s="51">
        <v>83</v>
      </c>
      <c r="C16" s="52" t="s">
        <v>6</v>
      </c>
      <c r="D16" s="113">
        <v>1199500000</v>
      </c>
      <c r="E16" s="53">
        <v>5197500000</v>
      </c>
      <c r="F16" s="53">
        <v>5197500000</v>
      </c>
      <c r="G16" s="54"/>
      <c r="H16" s="55">
        <f>D16-E16-F16</f>
        <v>-9195500000</v>
      </c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</row>
    <row r="17" spans="1:34" s="2" customFormat="1" ht="49.5" customHeight="1">
      <c r="A17" s="1"/>
      <c r="B17" s="51">
        <v>85</v>
      </c>
      <c r="C17" s="52" t="s">
        <v>27</v>
      </c>
      <c r="D17" s="113">
        <v>3265484275</v>
      </c>
      <c r="E17" s="53"/>
      <c r="F17" s="53"/>
      <c r="G17" s="54"/>
      <c r="H17" s="55">
        <f>D17-E17</f>
        <v>3265484275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</row>
    <row r="18" spans="1:34" s="2" customFormat="1" ht="39.75">
      <c r="A18" s="1"/>
      <c r="B18" s="51">
        <v>95</v>
      </c>
      <c r="C18" s="52" t="s">
        <v>29</v>
      </c>
      <c r="D18" s="113">
        <v>2236914017</v>
      </c>
      <c r="E18" s="53"/>
      <c r="F18" s="53">
        <v>7587000000</v>
      </c>
      <c r="G18" s="54"/>
      <c r="H18" s="55">
        <f>D18-E18-F18</f>
        <v>-5350085983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</row>
    <row r="19" spans="1:34" s="2" customFormat="1" ht="33.75">
      <c r="A19" s="1"/>
      <c r="B19" s="94" t="s">
        <v>8</v>
      </c>
      <c r="C19" s="95"/>
      <c r="D19" s="95"/>
      <c r="E19" s="95"/>
      <c r="F19" s="95"/>
      <c r="G19" s="95"/>
      <c r="H19" s="96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spans="1:34" s="2" customFormat="1" ht="39.75">
      <c r="A20" s="1"/>
      <c r="B20" s="51">
        <v>75</v>
      </c>
      <c r="C20" s="47" t="s">
        <v>9</v>
      </c>
      <c r="D20" s="113">
        <v>714764</v>
      </c>
      <c r="E20" s="53"/>
      <c r="F20" s="53"/>
      <c r="G20" s="54"/>
      <c r="H20" s="55">
        <f t="shared" ref="H20:H24" si="1">D20-E20</f>
        <v>714764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</row>
    <row r="21" spans="1:34" s="2" customFormat="1" ht="39.75">
      <c r="A21" s="1"/>
      <c r="B21" s="56">
        <v>1</v>
      </c>
      <c r="C21" s="47" t="s">
        <v>10</v>
      </c>
      <c r="D21" s="113">
        <v>5721000000</v>
      </c>
      <c r="E21" s="58">
        <v>8189900000</v>
      </c>
      <c r="F21" s="54">
        <v>11561000000</v>
      </c>
      <c r="G21" s="58"/>
      <c r="H21" s="55">
        <f>D21-E21-F21</f>
        <v>-14029900000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</row>
    <row r="22" spans="1:34" s="2" customFormat="1" ht="50.25" customHeight="1">
      <c r="A22" s="1"/>
      <c r="B22" s="56">
        <v>15</v>
      </c>
      <c r="C22" s="71" t="s">
        <v>108</v>
      </c>
      <c r="D22" s="113">
        <v>168379655</v>
      </c>
      <c r="E22" s="58"/>
      <c r="F22" s="57"/>
      <c r="G22" s="58"/>
      <c r="H22" s="55">
        <f t="shared" si="1"/>
        <v>168379655</v>
      </c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</row>
    <row r="23" spans="1:34" s="2" customFormat="1" ht="39.75">
      <c r="A23" s="1"/>
      <c r="B23" s="56">
        <v>99</v>
      </c>
      <c r="C23" s="47" t="s">
        <v>28</v>
      </c>
      <c r="D23" s="113">
        <v>2041469837</v>
      </c>
      <c r="E23" s="57"/>
      <c r="F23" s="57"/>
      <c r="G23" s="58"/>
      <c r="H23" s="55">
        <f t="shared" si="1"/>
        <v>2041469837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</row>
    <row r="24" spans="1:34" s="2" customFormat="1" ht="39.75">
      <c r="A24" s="1"/>
      <c r="B24" s="56">
        <v>99</v>
      </c>
      <c r="C24" s="47" t="s">
        <v>46</v>
      </c>
      <c r="D24" s="113">
        <v>11512819</v>
      </c>
      <c r="E24" s="54"/>
      <c r="F24" s="57"/>
      <c r="G24" s="80"/>
      <c r="H24" s="55">
        <f t="shared" si="1"/>
        <v>11512819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</row>
    <row r="25" spans="1:34" s="2" customFormat="1" ht="39.75">
      <c r="A25" s="1"/>
      <c r="B25" s="51">
        <v>100</v>
      </c>
      <c r="C25" s="47" t="s">
        <v>13</v>
      </c>
      <c r="D25" s="113">
        <v>9029111016</v>
      </c>
      <c r="E25" s="54">
        <v>3000000000</v>
      </c>
      <c r="F25" s="54">
        <v>9843000000</v>
      </c>
      <c r="G25" s="88"/>
      <c r="H25" s="55">
        <f>D25-E25-F25</f>
        <v>-3813888984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</row>
    <row r="26" spans="1:34" ht="40.5" thickBot="1">
      <c r="A26" s="7"/>
      <c r="B26" s="64"/>
      <c r="C26" s="65" t="s">
        <v>22</v>
      </c>
      <c r="D26" s="89">
        <f>SUM(D5:D11,D13:D18,D20:D25)</f>
        <v>35779439227</v>
      </c>
      <c r="E26" s="90">
        <f>SUM(E20:E25,E13:E18,E5:E11)</f>
        <v>18038313293</v>
      </c>
      <c r="F26" s="90">
        <f>SUM(F20:F25,F13:F18,F6:F11,F5)</f>
        <v>34188500000</v>
      </c>
      <c r="G26" s="66"/>
      <c r="H26" s="67">
        <f>SUM(H5:H11,H13:H18,H20:H25)</f>
        <v>-16447374066</v>
      </c>
    </row>
    <row r="27" spans="1:34" ht="47.25" customHeight="1" thickBot="1">
      <c r="A27" s="7"/>
      <c r="B27" s="10"/>
      <c r="C27" s="11"/>
      <c r="D27" s="98" t="s">
        <v>175</v>
      </c>
      <c r="E27" s="99"/>
      <c r="F27" s="91">
        <f>SUM(E26:F26)</f>
        <v>52226813293</v>
      </c>
      <c r="G27" s="12"/>
      <c r="H27" s="50" t="s">
        <v>141</v>
      </c>
    </row>
    <row r="28" spans="1:34" ht="1.5" hidden="1" customHeight="1" thickBot="1">
      <c r="A28" s="7"/>
      <c r="H28" s="34"/>
    </row>
    <row r="29" spans="1:34">
      <c r="E29" s="18"/>
      <c r="F29" s="18"/>
    </row>
    <row r="30" spans="1:34">
      <c r="E30" s="18"/>
      <c r="F30" s="18"/>
      <c r="G30" s="20"/>
    </row>
    <row r="31" spans="1:34" ht="30" customHeight="1"/>
    <row r="35" spans="7:8">
      <c r="G35" s="19"/>
      <c r="H35"/>
    </row>
    <row r="36" spans="7:8">
      <c r="G36" s="19"/>
      <c r="H36"/>
    </row>
    <row r="37" spans="7:8">
      <c r="G37" s="19"/>
      <c r="H37"/>
    </row>
    <row r="38" spans="7:8">
      <c r="G38" s="19"/>
      <c r="H38"/>
    </row>
    <row r="39" spans="7:8">
      <c r="G39" s="19"/>
      <c r="H39"/>
    </row>
    <row r="40" spans="7:8">
      <c r="G40" s="19"/>
      <c r="H40"/>
    </row>
    <row r="41" spans="7:8">
      <c r="G41" s="19"/>
      <c r="H41"/>
    </row>
    <row r="42" spans="7:8">
      <c r="G42" s="19"/>
      <c r="H42"/>
    </row>
    <row r="43" spans="7:8">
      <c r="G43" s="19"/>
      <c r="H43"/>
    </row>
    <row r="44" spans="7:8">
      <c r="G44" s="19"/>
      <c r="H44"/>
    </row>
  </sheetData>
  <mergeCells count="4">
    <mergeCell ref="B12:H12"/>
    <mergeCell ref="B19:H19"/>
    <mergeCell ref="B2:H2"/>
    <mergeCell ref="D27:E27"/>
  </mergeCells>
  <pageMargins left="0.23622047244094488" right="0.23622047244094488" top="0.27559055118110237" bottom="0.31496062992125984" header="0.27559055118110237" footer="0.31496062992125984"/>
  <pageSetup paperSize="9" scale="47" orientation="portrait" r:id="rId1"/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3"/>
  <sheetViews>
    <sheetView rightToLeft="1" zoomScaleNormal="100" zoomScaleSheetLayoutView="100" zoomScalePageLayoutView="57" workbookViewId="0">
      <selection activeCell="D11" sqref="D11"/>
    </sheetView>
  </sheetViews>
  <sheetFormatPr defaultRowHeight="32.25" customHeight="1"/>
  <cols>
    <col min="1" max="1" width="4.375" customWidth="1"/>
    <col min="2" max="2" width="6.125" style="13" customWidth="1"/>
    <col min="3" max="3" width="52.875" style="26" customWidth="1"/>
    <col min="4" max="4" width="26.75" style="27" bestFit="1" customWidth="1"/>
    <col min="5" max="5" width="26.875" style="28" bestFit="1" customWidth="1"/>
    <col min="6" max="6" width="35.375" style="29" bestFit="1" customWidth="1"/>
    <col min="7" max="7" width="28.375" style="27" customWidth="1"/>
  </cols>
  <sheetData>
    <row r="1" spans="1:7" ht="26.25" customHeight="1">
      <c r="A1" s="7"/>
      <c r="B1" s="92" t="s">
        <v>170</v>
      </c>
      <c r="C1" s="93"/>
      <c r="D1" s="93"/>
      <c r="E1" s="93"/>
      <c r="F1" s="93"/>
      <c r="G1" s="101"/>
    </row>
    <row r="2" spans="1:7" ht="44.25" customHeight="1">
      <c r="A2" s="7"/>
      <c r="B2" s="59" t="s">
        <v>0</v>
      </c>
      <c r="C2" s="60" t="s">
        <v>1</v>
      </c>
      <c r="D2" s="61" t="s">
        <v>2</v>
      </c>
      <c r="E2" s="37" t="s">
        <v>180</v>
      </c>
      <c r="F2" s="37" t="s">
        <v>181</v>
      </c>
      <c r="G2" s="61" t="s">
        <v>3</v>
      </c>
    </row>
    <row r="3" spans="1:7" s="23" customFormat="1" ht="32.25" customHeight="1">
      <c r="A3" s="22"/>
      <c r="B3" s="100" t="s">
        <v>14</v>
      </c>
      <c r="C3" s="100"/>
      <c r="D3" s="100"/>
      <c r="E3" s="100"/>
      <c r="F3" s="100"/>
      <c r="G3" s="100"/>
    </row>
    <row r="4" spans="1:7" s="23" customFormat="1" ht="32.25" customHeight="1">
      <c r="A4" s="22"/>
      <c r="B4" s="44">
        <v>78</v>
      </c>
      <c r="C4" s="44" t="s">
        <v>15</v>
      </c>
      <c r="D4" s="114">
        <v>2769452</v>
      </c>
      <c r="E4" s="24">
        <v>0</v>
      </c>
      <c r="F4" s="38"/>
      <c r="G4" s="24">
        <f>D4-E4-F4</f>
        <v>2769452</v>
      </c>
    </row>
    <row r="5" spans="1:7" s="23" customFormat="1" ht="32.25" customHeight="1">
      <c r="A5" s="22"/>
      <c r="B5" s="44">
        <v>50</v>
      </c>
      <c r="C5" s="48" t="s">
        <v>23</v>
      </c>
      <c r="D5" s="114">
        <v>21595911</v>
      </c>
      <c r="E5" s="24"/>
      <c r="F5" s="38"/>
      <c r="G5" s="24">
        <f>D5-E5-F5</f>
        <v>21595911</v>
      </c>
    </row>
    <row r="6" spans="1:7" s="23" customFormat="1" ht="32.25" customHeight="1">
      <c r="A6" s="22"/>
      <c r="B6" s="44">
        <v>48</v>
      </c>
      <c r="C6" s="48" t="s">
        <v>16</v>
      </c>
      <c r="D6" s="114">
        <v>42045923</v>
      </c>
      <c r="E6" s="68">
        <v>0</v>
      </c>
      <c r="F6" s="38"/>
      <c r="G6" s="24">
        <f>D6-E6-F6</f>
        <v>42045923</v>
      </c>
    </row>
    <row r="7" spans="1:7" s="23" customFormat="1" ht="32.25" customHeight="1">
      <c r="A7" s="22"/>
      <c r="B7" s="44">
        <v>47</v>
      </c>
      <c r="C7" s="48" t="s">
        <v>24</v>
      </c>
      <c r="D7" s="114">
        <v>11118853207</v>
      </c>
      <c r="E7" s="68">
        <v>0</v>
      </c>
      <c r="F7" s="38"/>
      <c r="G7" s="24">
        <f>D7-E7</f>
        <v>11118853207</v>
      </c>
    </row>
    <row r="8" spans="1:7" s="23" customFormat="1" ht="32.25" customHeight="1">
      <c r="A8" s="22"/>
      <c r="B8" s="44">
        <v>92</v>
      </c>
      <c r="C8" s="48" t="s">
        <v>70</v>
      </c>
      <c r="D8" s="114">
        <v>16568237</v>
      </c>
      <c r="E8" s="24"/>
      <c r="F8" s="38"/>
      <c r="G8" s="24">
        <f>D8-E8</f>
        <v>16568237</v>
      </c>
    </row>
    <row r="9" spans="1:7" s="23" customFormat="1" ht="32.25" customHeight="1">
      <c r="A9" s="22"/>
      <c r="B9" s="44">
        <v>95</v>
      </c>
      <c r="C9" s="48" t="s">
        <v>17</v>
      </c>
      <c r="D9" s="114">
        <v>14345376059</v>
      </c>
      <c r="E9" s="24"/>
      <c r="F9" s="39"/>
      <c r="G9" s="24">
        <f>D9-E9-F9</f>
        <v>14345376059</v>
      </c>
    </row>
    <row r="10" spans="1:7" s="23" customFormat="1" ht="32.25" customHeight="1">
      <c r="A10" s="22"/>
      <c r="B10" s="44">
        <v>35</v>
      </c>
      <c r="C10" s="48" t="s">
        <v>18</v>
      </c>
      <c r="D10" s="114">
        <v>11537025012</v>
      </c>
      <c r="E10" s="68"/>
      <c r="F10" s="38"/>
      <c r="G10" s="24">
        <f>D10-E10-F10</f>
        <v>11537025012</v>
      </c>
    </row>
    <row r="11" spans="1:7" s="23" customFormat="1" ht="32.25" customHeight="1">
      <c r="A11" s="22"/>
      <c r="B11" s="44">
        <v>36</v>
      </c>
      <c r="C11" s="48" t="s">
        <v>109</v>
      </c>
      <c r="D11" s="114">
        <v>2172511913</v>
      </c>
      <c r="E11" s="68"/>
      <c r="F11" s="38"/>
      <c r="G11" s="24">
        <f>D11-E11-F11</f>
        <v>2172511913</v>
      </c>
    </row>
    <row r="12" spans="1:7" s="23" customFormat="1" ht="32.25" customHeight="1">
      <c r="A12" s="22"/>
      <c r="B12" s="45">
        <v>43</v>
      </c>
      <c r="C12" s="48" t="s">
        <v>31</v>
      </c>
      <c r="D12" s="115">
        <v>340000000</v>
      </c>
      <c r="E12" s="39"/>
      <c r="F12" s="40"/>
      <c r="G12" s="24">
        <f>D12-E12-F12</f>
        <v>340000000</v>
      </c>
    </row>
    <row r="13" spans="1:7" ht="32.25" customHeight="1">
      <c r="A13" s="7"/>
      <c r="B13" s="8"/>
      <c r="C13" s="9" t="s">
        <v>22</v>
      </c>
      <c r="D13" s="24">
        <f>SUM(D4:D12)</f>
        <v>39596745714</v>
      </c>
      <c r="E13" s="24">
        <f>SUM(E4:E12)</f>
        <v>0</v>
      </c>
      <c r="F13" s="25"/>
      <c r="G13" s="24">
        <f>SUM(G4:G12)</f>
        <v>39596745714</v>
      </c>
    </row>
  </sheetData>
  <mergeCells count="2">
    <mergeCell ref="B3:G3"/>
    <mergeCell ref="B1:G1"/>
  </mergeCells>
  <pageMargins left="0.25" right="0.25" top="0.75" bottom="0.75" header="0.3" footer="0.3"/>
  <pageSetup paperSize="9" scale="5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pageSetUpPr fitToPage="1"/>
  </sheetPr>
  <dimension ref="A1:H31"/>
  <sheetViews>
    <sheetView rightToLeft="1" tabSelected="1" view="pageBreakPreview" zoomScale="85" zoomScaleNormal="115" zoomScaleSheetLayoutView="85" zoomScalePageLayoutView="110" workbookViewId="0">
      <selection activeCell="D29" sqref="D29"/>
    </sheetView>
  </sheetViews>
  <sheetFormatPr defaultRowHeight="34.5" customHeight="1"/>
  <cols>
    <col min="1" max="1" width="2.375" customWidth="1"/>
    <col min="2" max="2" width="3.375" style="29" customWidth="1"/>
    <col min="3" max="3" width="46.375" style="33" customWidth="1"/>
    <col min="4" max="4" width="33.75" style="33" bestFit="1" customWidth="1"/>
    <col min="5" max="5" width="26.75" style="33" bestFit="1" customWidth="1"/>
    <col min="6" max="6" width="26.75" style="33" customWidth="1"/>
    <col min="7" max="7" width="28.75" style="33" customWidth="1"/>
    <col min="8" max="8" width="9.125" style="33"/>
    <col min="10" max="10" width="10" bestFit="1" customWidth="1"/>
  </cols>
  <sheetData>
    <row r="1" spans="1:8" ht="34.5" customHeight="1">
      <c r="A1" s="7"/>
      <c r="B1" s="7"/>
      <c r="C1" s="7"/>
      <c r="D1" s="7"/>
      <c r="E1" s="7"/>
      <c r="F1" s="7"/>
      <c r="G1" s="7"/>
      <c r="H1" s="7"/>
    </row>
    <row r="2" spans="1:8" ht="34.5" customHeight="1">
      <c r="A2" s="7"/>
      <c r="B2" s="92" t="s">
        <v>179</v>
      </c>
      <c r="C2" s="93"/>
      <c r="D2" s="93"/>
      <c r="E2" s="93"/>
      <c r="F2" s="93"/>
      <c r="G2" s="93"/>
      <c r="H2" s="7"/>
    </row>
    <row r="3" spans="1:8" ht="44.25" customHeight="1">
      <c r="A3" s="7"/>
      <c r="B3" s="30"/>
      <c r="C3" s="35" t="s">
        <v>1</v>
      </c>
      <c r="D3" s="35" t="s">
        <v>2</v>
      </c>
      <c r="E3" s="37" t="s">
        <v>180</v>
      </c>
      <c r="F3" s="37" t="s">
        <v>181</v>
      </c>
      <c r="G3" s="35" t="s">
        <v>19</v>
      </c>
      <c r="H3" s="7"/>
    </row>
    <row r="4" spans="1:8" ht="34.5" customHeight="1">
      <c r="A4" s="7"/>
      <c r="B4" s="70">
        <v>1</v>
      </c>
      <c r="C4" s="46" t="s">
        <v>20</v>
      </c>
      <c r="D4" s="116">
        <v>200973890</v>
      </c>
      <c r="E4" s="41"/>
      <c r="F4" s="41"/>
      <c r="G4" s="31">
        <f t="shared" ref="G4:G28" si="0">D4-E4</f>
        <v>200973890</v>
      </c>
      <c r="H4"/>
    </row>
    <row r="5" spans="1:8" ht="34.5" customHeight="1">
      <c r="A5" s="7"/>
      <c r="B5" s="70">
        <v>2</v>
      </c>
      <c r="C5" s="46" t="s">
        <v>151</v>
      </c>
      <c r="D5" s="116">
        <v>5249833656</v>
      </c>
      <c r="E5" s="49"/>
      <c r="F5" s="49"/>
      <c r="G5" s="31">
        <f>D5-E5-F5</f>
        <v>5249833656</v>
      </c>
      <c r="H5"/>
    </row>
    <row r="6" spans="1:8" ht="34.5" customHeight="1">
      <c r="A6" s="7"/>
      <c r="B6" s="70">
        <v>3</v>
      </c>
      <c r="C6" s="46" t="s">
        <v>21</v>
      </c>
      <c r="D6" s="116">
        <v>14171934616</v>
      </c>
      <c r="E6" s="49"/>
      <c r="F6" s="49"/>
      <c r="G6" s="31">
        <f t="shared" si="0"/>
        <v>14171934616</v>
      </c>
      <c r="H6"/>
    </row>
    <row r="7" spans="1:8" ht="34.5" customHeight="1">
      <c r="A7" s="7"/>
      <c r="B7" s="70">
        <v>4</v>
      </c>
      <c r="C7" s="46" t="s">
        <v>84</v>
      </c>
      <c r="D7" s="116">
        <v>4015540325</v>
      </c>
      <c r="E7" s="49"/>
      <c r="F7" s="49"/>
      <c r="G7" s="31">
        <f t="shared" si="0"/>
        <v>4015540325</v>
      </c>
      <c r="H7"/>
    </row>
    <row r="8" spans="1:8" ht="34.5" customHeight="1">
      <c r="A8" s="7"/>
      <c r="B8" s="70">
        <v>5</v>
      </c>
      <c r="C8" s="46" t="s">
        <v>59</v>
      </c>
      <c r="D8" s="117">
        <v>119</v>
      </c>
      <c r="E8" s="81"/>
      <c r="F8" s="81"/>
      <c r="G8" s="31">
        <f t="shared" si="0"/>
        <v>119</v>
      </c>
      <c r="H8"/>
    </row>
    <row r="9" spans="1:8" ht="34.5" customHeight="1">
      <c r="A9" s="7"/>
      <c r="B9" s="70">
        <v>6</v>
      </c>
      <c r="C9" s="46" t="s">
        <v>49</v>
      </c>
      <c r="D9" s="116">
        <v>6453928490</v>
      </c>
      <c r="E9" s="42"/>
      <c r="F9" s="42"/>
      <c r="G9" s="31">
        <f t="shared" si="0"/>
        <v>6453928490</v>
      </c>
      <c r="H9"/>
    </row>
    <row r="10" spans="1:8" ht="34.5" customHeight="1">
      <c r="A10" s="7"/>
      <c r="B10" s="70">
        <v>7</v>
      </c>
      <c r="C10" s="46" t="s">
        <v>48</v>
      </c>
      <c r="D10" s="117">
        <v>17816319</v>
      </c>
      <c r="E10" s="42"/>
      <c r="F10" s="42"/>
      <c r="G10" s="31">
        <f t="shared" si="0"/>
        <v>17816319</v>
      </c>
      <c r="H10"/>
    </row>
    <row r="11" spans="1:8" ht="34.5" customHeight="1">
      <c r="A11" s="7"/>
      <c r="B11" s="70">
        <v>8</v>
      </c>
      <c r="C11" s="46" t="s">
        <v>58</v>
      </c>
      <c r="D11" s="117">
        <v>195248213</v>
      </c>
      <c r="E11" s="42"/>
      <c r="F11" s="42"/>
      <c r="G11" s="31">
        <f t="shared" si="0"/>
        <v>195248213</v>
      </c>
      <c r="H11"/>
    </row>
    <row r="12" spans="1:8" ht="34.5" customHeight="1">
      <c r="A12" s="7"/>
      <c r="B12" s="70">
        <v>9</v>
      </c>
      <c r="C12" s="46" t="s">
        <v>60</v>
      </c>
      <c r="D12" s="117">
        <v>867927948</v>
      </c>
      <c r="E12" s="42"/>
      <c r="F12" s="42"/>
      <c r="G12" s="31">
        <f t="shared" si="0"/>
        <v>867927948</v>
      </c>
      <c r="H12"/>
    </row>
    <row r="13" spans="1:8" ht="34.5" customHeight="1">
      <c r="A13" s="7"/>
      <c r="B13" s="70">
        <v>10</v>
      </c>
      <c r="C13" s="46" t="s">
        <v>71</v>
      </c>
      <c r="D13" s="117">
        <v>2862881791</v>
      </c>
      <c r="E13" s="42"/>
      <c r="F13" s="42"/>
      <c r="G13" s="31">
        <f t="shared" si="0"/>
        <v>2862881791</v>
      </c>
      <c r="H13"/>
    </row>
    <row r="14" spans="1:8" ht="34.5" customHeight="1">
      <c r="A14" s="7"/>
      <c r="B14" s="70">
        <v>11</v>
      </c>
      <c r="C14" s="46" t="s">
        <v>74</v>
      </c>
      <c r="D14" s="117">
        <v>4313096866</v>
      </c>
      <c r="E14" s="42"/>
      <c r="F14" s="42"/>
      <c r="G14" s="31">
        <f t="shared" si="0"/>
        <v>4313096866</v>
      </c>
      <c r="H14"/>
    </row>
    <row r="15" spans="1:8" ht="34.5" customHeight="1">
      <c r="A15" s="7"/>
      <c r="B15" s="70">
        <v>12</v>
      </c>
      <c r="C15" s="46" t="s">
        <v>75</v>
      </c>
      <c r="D15" s="117">
        <v>8515118</v>
      </c>
      <c r="E15" s="42"/>
      <c r="F15" s="42"/>
      <c r="G15" s="31">
        <f t="shared" si="0"/>
        <v>8515118</v>
      </c>
      <c r="H15"/>
    </row>
    <row r="16" spans="1:8" ht="34.5" customHeight="1">
      <c r="A16" s="7"/>
      <c r="B16" s="70">
        <v>13</v>
      </c>
      <c r="C16" s="46" t="s">
        <v>79</v>
      </c>
      <c r="D16" s="117">
        <v>1710184338</v>
      </c>
      <c r="E16" s="42"/>
      <c r="F16" s="42"/>
      <c r="G16" s="31">
        <f t="shared" si="0"/>
        <v>1710184338</v>
      </c>
      <c r="H16"/>
    </row>
    <row r="17" spans="1:8" ht="34.5" customHeight="1">
      <c r="A17" s="7"/>
      <c r="B17" s="70">
        <v>14</v>
      </c>
      <c r="C17" s="46" t="s">
        <v>85</v>
      </c>
      <c r="D17" s="117">
        <v>3790381953</v>
      </c>
      <c r="E17" s="42"/>
      <c r="F17" s="42"/>
      <c r="G17" s="31">
        <f t="shared" si="0"/>
        <v>3790381953</v>
      </c>
      <c r="H17"/>
    </row>
    <row r="18" spans="1:8" ht="34.5" customHeight="1">
      <c r="A18" s="7"/>
      <c r="B18" s="70">
        <v>15</v>
      </c>
      <c r="C18" s="46" t="s">
        <v>86</v>
      </c>
      <c r="D18" s="118">
        <v>1267706897</v>
      </c>
      <c r="E18" s="42"/>
      <c r="F18" s="42"/>
      <c r="G18" s="31">
        <f t="shared" si="0"/>
        <v>1267706897</v>
      </c>
      <c r="H18"/>
    </row>
    <row r="19" spans="1:8" ht="34.5" customHeight="1">
      <c r="A19" s="7"/>
      <c r="B19" s="70">
        <v>16</v>
      </c>
      <c r="C19" s="46" t="s">
        <v>101</v>
      </c>
      <c r="D19" s="117">
        <v>63140442</v>
      </c>
      <c r="E19" s="42"/>
      <c r="F19" s="42"/>
      <c r="G19" s="31">
        <f t="shared" si="0"/>
        <v>63140442</v>
      </c>
      <c r="H19"/>
    </row>
    <row r="20" spans="1:8" ht="34.5" customHeight="1">
      <c r="A20" s="7"/>
      <c r="B20" s="70">
        <v>17</v>
      </c>
      <c r="C20" s="46" t="s">
        <v>102</v>
      </c>
      <c r="D20" s="117">
        <v>831182</v>
      </c>
      <c r="E20" s="42"/>
      <c r="F20" s="42"/>
      <c r="G20" s="31">
        <f t="shared" si="0"/>
        <v>831182</v>
      </c>
      <c r="H20"/>
    </row>
    <row r="21" spans="1:8" ht="34.5" customHeight="1">
      <c r="A21" s="7"/>
      <c r="B21" s="70">
        <v>18</v>
      </c>
      <c r="C21" s="46" t="s">
        <v>103</v>
      </c>
      <c r="D21" s="117">
        <v>1115149855</v>
      </c>
      <c r="E21" s="42"/>
      <c r="F21" s="42"/>
      <c r="G21" s="31">
        <f t="shared" si="0"/>
        <v>1115149855</v>
      </c>
      <c r="H21"/>
    </row>
    <row r="22" spans="1:8" ht="34.5" customHeight="1">
      <c r="A22" s="7"/>
      <c r="B22" s="70">
        <v>19</v>
      </c>
      <c r="C22" s="46" t="s">
        <v>104</v>
      </c>
      <c r="D22" s="117">
        <v>4687</v>
      </c>
      <c r="E22" s="42"/>
      <c r="F22" s="42"/>
      <c r="G22" s="31">
        <f t="shared" si="0"/>
        <v>4687</v>
      </c>
      <c r="H22"/>
    </row>
    <row r="23" spans="1:8" ht="34.5" customHeight="1">
      <c r="A23" s="7"/>
      <c r="B23" s="70">
        <v>20</v>
      </c>
      <c r="C23" s="46" t="s">
        <v>105</v>
      </c>
      <c r="D23" s="117">
        <v>868062844</v>
      </c>
      <c r="E23" s="42"/>
      <c r="F23" s="42"/>
      <c r="G23" s="31">
        <f t="shared" si="0"/>
        <v>868062844</v>
      </c>
      <c r="H23"/>
    </row>
    <row r="24" spans="1:8" ht="34.5" customHeight="1">
      <c r="A24" s="7"/>
      <c r="B24" s="70">
        <v>21</v>
      </c>
      <c r="C24" s="46" t="s">
        <v>106</v>
      </c>
      <c r="D24" s="117">
        <v>81987</v>
      </c>
      <c r="E24" s="42"/>
      <c r="F24" s="42"/>
      <c r="G24" s="31">
        <f t="shared" si="0"/>
        <v>81987</v>
      </c>
      <c r="H24"/>
    </row>
    <row r="25" spans="1:8" ht="34.5" customHeight="1">
      <c r="A25" s="7"/>
      <c r="B25" s="70">
        <v>22</v>
      </c>
      <c r="C25" s="46" t="s">
        <v>176</v>
      </c>
      <c r="D25" s="117">
        <v>1226484525</v>
      </c>
      <c r="E25" s="42"/>
      <c r="F25" s="42"/>
      <c r="G25" s="31">
        <f t="shared" si="0"/>
        <v>1226484525</v>
      </c>
      <c r="H25"/>
    </row>
    <row r="26" spans="1:8" ht="34.5" customHeight="1">
      <c r="A26" s="7"/>
      <c r="B26" s="70">
        <v>23</v>
      </c>
      <c r="C26" s="46" t="s">
        <v>143</v>
      </c>
      <c r="D26" s="117">
        <v>215589</v>
      </c>
      <c r="E26" s="42"/>
      <c r="F26" s="42"/>
      <c r="G26" s="31">
        <f t="shared" si="0"/>
        <v>215589</v>
      </c>
      <c r="H26"/>
    </row>
    <row r="27" spans="1:8" ht="34.5" customHeight="1">
      <c r="A27" s="7"/>
      <c r="B27" s="70">
        <v>24</v>
      </c>
      <c r="C27" s="46" t="s">
        <v>112</v>
      </c>
      <c r="D27" s="117">
        <v>22595</v>
      </c>
      <c r="E27" s="42"/>
      <c r="F27" s="42"/>
      <c r="G27" s="31">
        <f t="shared" si="0"/>
        <v>22595</v>
      </c>
      <c r="H27"/>
    </row>
    <row r="28" spans="1:8" ht="34.5" customHeight="1">
      <c r="A28" s="7"/>
      <c r="B28" s="70">
        <v>25</v>
      </c>
      <c r="C28" s="46" t="s">
        <v>107</v>
      </c>
      <c r="D28" s="117">
        <v>1208791181</v>
      </c>
      <c r="E28" s="42"/>
      <c r="F28" s="42"/>
      <c r="G28" s="31">
        <f t="shared" si="0"/>
        <v>1208791181</v>
      </c>
      <c r="H28"/>
    </row>
    <row r="29" spans="1:8" ht="34.5" customHeight="1">
      <c r="A29" s="7"/>
      <c r="B29" s="8"/>
      <c r="C29" s="32" t="s">
        <v>22</v>
      </c>
      <c r="D29" s="49">
        <f>SUM(D4:D28)</f>
        <v>49608755426</v>
      </c>
      <c r="E29" s="31">
        <f>SUM(E4:E28)</f>
        <v>0</v>
      </c>
      <c r="F29" s="31">
        <f>SUM(F4:F28)</f>
        <v>0</v>
      </c>
      <c r="G29" s="31">
        <f>SUM(G4:G28)</f>
        <v>49608755426</v>
      </c>
      <c r="H29" s="7"/>
    </row>
    <row r="30" spans="1:8" ht="34.5" customHeight="1">
      <c r="A30" s="7"/>
      <c r="B30" s="7"/>
      <c r="C30" s="7"/>
      <c r="D30" s="79"/>
      <c r="E30" s="7"/>
      <c r="F30" s="7"/>
      <c r="G30" s="7"/>
      <c r="H30" s="7"/>
    </row>
    <row r="31" spans="1:8" ht="34.5" customHeight="1">
      <c r="A31" s="7"/>
      <c r="B31" s="7"/>
      <c r="C31" s="7"/>
      <c r="D31" s="7"/>
      <c r="E31" s="63"/>
      <c r="F31" s="63"/>
      <c r="G31" s="7"/>
      <c r="H31" s="7"/>
    </row>
  </sheetData>
  <mergeCells count="1">
    <mergeCell ref="B2:G2"/>
  </mergeCells>
  <pageMargins left="0.7" right="0.7" top="0.75" bottom="0.75" header="0.3" footer="0.3"/>
  <pageSetup paperSize="9" scale="47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1"/>
  <sheetViews>
    <sheetView rightToLeft="1" topLeftCell="A105" zoomScale="140" zoomScaleNormal="140" workbookViewId="0">
      <selection activeCell="D125" sqref="D125"/>
    </sheetView>
  </sheetViews>
  <sheetFormatPr defaultRowHeight="14.25"/>
  <cols>
    <col min="1" max="1" width="10.625" customWidth="1"/>
    <col min="2" max="2" width="18.375" bestFit="1" customWidth="1"/>
    <col min="3" max="3" width="12.625" customWidth="1"/>
    <col min="4" max="4" width="20.375" bestFit="1" customWidth="1"/>
    <col min="8" max="8" width="16.5" bestFit="1" customWidth="1"/>
  </cols>
  <sheetData>
    <row r="1" spans="1:4" ht="27.75" customHeight="1">
      <c r="A1" s="107" t="s">
        <v>68</v>
      </c>
      <c r="B1" s="107"/>
      <c r="C1" s="107"/>
      <c r="D1" s="107"/>
    </row>
    <row r="2" spans="1:4" ht="18">
      <c r="A2" s="3" t="s">
        <v>33</v>
      </c>
      <c r="B2" s="3" t="s">
        <v>34</v>
      </c>
      <c r="C2" s="3" t="s">
        <v>35</v>
      </c>
      <c r="D2" s="3" t="s">
        <v>42</v>
      </c>
    </row>
    <row r="3" spans="1:4">
      <c r="A3" s="4">
        <v>104283</v>
      </c>
      <c r="B3" s="5">
        <v>2000000000</v>
      </c>
      <c r="C3" s="6" t="s">
        <v>36</v>
      </c>
      <c r="D3" s="4" t="s">
        <v>43</v>
      </c>
    </row>
    <row r="4" spans="1:4">
      <c r="A4" s="4">
        <v>104284</v>
      </c>
      <c r="B4" s="5">
        <v>2000000000</v>
      </c>
      <c r="C4" s="6" t="s">
        <v>37</v>
      </c>
      <c r="D4" s="4" t="s">
        <v>43</v>
      </c>
    </row>
    <row r="5" spans="1:4">
      <c r="A5" s="4">
        <v>104285</v>
      </c>
      <c r="B5" s="5">
        <v>2000000000</v>
      </c>
      <c r="C5" s="6" t="s">
        <v>39</v>
      </c>
      <c r="D5" s="4" t="s">
        <v>43</v>
      </c>
    </row>
    <row r="6" spans="1:4">
      <c r="A6" s="4">
        <v>104286</v>
      </c>
      <c r="B6" s="5">
        <v>2000000000</v>
      </c>
      <c r="C6" s="6" t="s">
        <v>38</v>
      </c>
      <c r="D6" s="4" t="s">
        <v>43</v>
      </c>
    </row>
    <row r="7" spans="1:4">
      <c r="A7" s="4">
        <v>104287</v>
      </c>
      <c r="B7" s="5">
        <v>2000000000</v>
      </c>
      <c r="C7" s="6" t="s">
        <v>40</v>
      </c>
      <c r="D7" s="4" t="s">
        <v>43</v>
      </c>
    </row>
    <row r="8" spans="1:4">
      <c r="A8" s="4">
        <v>104288</v>
      </c>
      <c r="B8" s="5">
        <v>2000000000</v>
      </c>
      <c r="C8" s="6" t="s">
        <v>41</v>
      </c>
      <c r="D8" s="4" t="s">
        <v>43</v>
      </c>
    </row>
    <row r="9" spans="1:4">
      <c r="A9" s="4">
        <v>104289</v>
      </c>
      <c r="B9" s="5">
        <v>3000000000</v>
      </c>
      <c r="C9" s="6" t="s">
        <v>44</v>
      </c>
      <c r="D9" s="4" t="s">
        <v>45</v>
      </c>
    </row>
    <row r="10" spans="1:4">
      <c r="A10" s="4">
        <v>104290</v>
      </c>
      <c r="B10" s="5">
        <v>500000000</v>
      </c>
      <c r="C10" s="6" t="s">
        <v>36</v>
      </c>
      <c r="D10" s="4" t="s">
        <v>45</v>
      </c>
    </row>
    <row r="11" spans="1:4">
      <c r="A11" s="4">
        <v>104291</v>
      </c>
      <c r="B11" s="5">
        <v>500000000</v>
      </c>
      <c r="C11" s="6" t="s">
        <v>37</v>
      </c>
      <c r="D11" s="4" t="s">
        <v>45</v>
      </c>
    </row>
    <row r="12" spans="1:4">
      <c r="A12" s="4">
        <v>104292</v>
      </c>
      <c r="B12" s="5">
        <v>500000000</v>
      </c>
      <c r="C12" s="6" t="s">
        <v>39</v>
      </c>
      <c r="D12" s="4" t="s">
        <v>45</v>
      </c>
    </row>
    <row r="13" spans="1:4">
      <c r="A13" s="4">
        <v>104293</v>
      </c>
      <c r="B13" s="5">
        <v>500000000</v>
      </c>
      <c r="C13" s="6" t="s">
        <v>38</v>
      </c>
      <c r="D13" s="4" t="s">
        <v>45</v>
      </c>
    </row>
    <row r="14" spans="1:4">
      <c r="A14" s="4">
        <v>104294</v>
      </c>
      <c r="B14" s="5">
        <v>500000000</v>
      </c>
      <c r="C14" s="6" t="s">
        <v>40</v>
      </c>
      <c r="D14" s="4" t="s">
        <v>45</v>
      </c>
    </row>
    <row r="15" spans="1:4">
      <c r="A15" s="4">
        <v>104296</v>
      </c>
      <c r="B15" s="5">
        <v>500000000</v>
      </c>
      <c r="C15" s="6" t="s">
        <v>41</v>
      </c>
      <c r="D15" s="4" t="s">
        <v>45</v>
      </c>
    </row>
    <row r="17" spans="1:4" ht="18">
      <c r="A17" s="108" t="s">
        <v>50</v>
      </c>
      <c r="B17" s="108"/>
      <c r="C17" s="108"/>
      <c r="D17" s="108"/>
    </row>
    <row r="18" spans="1:4">
      <c r="A18" s="4">
        <v>104337</v>
      </c>
      <c r="B18" s="4" t="s">
        <v>51</v>
      </c>
      <c r="C18" s="6" t="s">
        <v>52</v>
      </c>
      <c r="D18" s="4" t="s">
        <v>53</v>
      </c>
    </row>
    <row r="19" spans="1:4">
      <c r="A19" s="4">
        <v>104338</v>
      </c>
      <c r="B19" s="4" t="s">
        <v>54</v>
      </c>
      <c r="C19" s="6" t="s">
        <v>55</v>
      </c>
      <c r="D19" s="4" t="s">
        <v>53</v>
      </c>
    </row>
    <row r="20" spans="1:4">
      <c r="A20" s="4">
        <v>104343</v>
      </c>
      <c r="B20" s="62">
        <v>1440000000</v>
      </c>
      <c r="C20" s="6" t="s">
        <v>56</v>
      </c>
      <c r="D20" s="4" t="s">
        <v>57</v>
      </c>
    </row>
    <row r="22" spans="1:4" ht="18">
      <c r="A22" s="108" t="s">
        <v>61</v>
      </c>
      <c r="B22" s="108"/>
      <c r="C22" s="108"/>
      <c r="D22" s="108"/>
    </row>
    <row r="23" spans="1:4">
      <c r="A23" s="4">
        <v>691993</v>
      </c>
      <c r="B23" s="4" t="s">
        <v>66</v>
      </c>
      <c r="C23" s="4" t="s">
        <v>62</v>
      </c>
      <c r="D23" s="4" t="s">
        <v>63</v>
      </c>
    </row>
    <row r="24" spans="1:4">
      <c r="A24" s="4">
        <v>691994</v>
      </c>
      <c r="B24" s="4" t="s">
        <v>66</v>
      </c>
      <c r="C24" s="4" t="s">
        <v>64</v>
      </c>
      <c r="D24" s="4" t="s">
        <v>63</v>
      </c>
    </row>
    <row r="25" spans="1:4">
      <c r="A25">
        <v>691992</v>
      </c>
      <c r="B25" t="s">
        <v>67</v>
      </c>
      <c r="C25" t="s">
        <v>64</v>
      </c>
      <c r="D25" t="s">
        <v>63</v>
      </c>
    </row>
    <row r="26" spans="1:4">
      <c r="A26" s="4">
        <v>691995</v>
      </c>
      <c r="B26" s="4" t="s">
        <v>66</v>
      </c>
      <c r="C26" s="4" t="s">
        <v>65</v>
      </c>
      <c r="D26" s="4" t="s">
        <v>63</v>
      </c>
    </row>
    <row r="29" spans="1:4" ht="18.75" customHeight="1">
      <c r="A29" s="109" t="s">
        <v>72</v>
      </c>
      <c r="B29" s="109"/>
      <c r="C29" s="109"/>
      <c r="D29" s="109"/>
    </row>
    <row r="30" spans="1:4">
      <c r="A30" s="110" t="s">
        <v>73</v>
      </c>
      <c r="B30" s="110"/>
      <c r="C30" s="110"/>
      <c r="D30" s="110"/>
    </row>
    <row r="33" spans="1:4" ht="30" customHeight="1">
      <c r="A33" s="106" t="s">
        <v>77</v>
      </c>
      <c r="B33" s="106"/>
      <c r="C33" s="106"/>
      <c r="D33" s="106"/>
    </row>
    <row r="34" spans="1:4">
      <c r="A34" s="6">
        <v>965077</v>
      </c>
      <c r="B34" s="5">
        <v>2656000000</v>
      </c>
      <c r="C34" s="6" t="s">
        <v>76</v>
      </c>
      <c r="D34" s="6" t="s">
        <v>77</v>
      </c>
    </row>
    <row r="35" spans="1:4">
      <c r="A35" s="6">
        <v>965093</v>
      </c>
      <c r="B35" s="5">
        <v>2656000000</v>
      </c>
      <c r="C35" s="6" t="s">
        <v>92</v>
      </c>
      <c r="D35" s="6" t="s">
        <v>77</v>
      </c>
    </row>
    <row r="36" spans="1:4">
      <c r="A36" s="6">
        <v>965079</v>
      </c>
      <c r="B36" s="5">
        <v>2656000000</v>
      </c>
      <c r="C36" s="6" t="s">
        <v>78</v>
      </c>
      <c r="D36" s="6" t="s">
        <v>77</v>
      </c>
    </row>
    <row r="37" spans="1:4">
      <c r="A37" s="6">
        <v>965083</v>
      </c>
      <c r="B37" s="5">
        <v>2444800000</v>
      </c>
      <c r="C37" s="6" t="s">
        <v>78</v>
      </c>
      <c r="D37" s="6" t="s">
        <v>77</v>
      </c>
    </row>
    <row r="38" spans="1:4">
      <c r="A38" s="6">
        <v>965084</v>
      </c>
      <c r="B38" s="5">
        <v>2444800000</v>
      </c>
      <c r="C38" s="6" t="s">
        <v>87</v>
      </c>
      <c r="D38" s="6" t="s">
        <v>77</v>
      </c>
    </row>
    <row r="39" spans="1:4">
      <c r="A39" s="6">
        <v>965085</v>
      </c>
      <c r="B39" s="5">
        <v>2444800000</v>
      </c>
      <c r="C39" s="6" t="s">
        <v>88</v>
      </c>
      <c r="D39" s="6" t="s">
        <v>77</v>
      </c>
    </row>
    <row r="40" spans="1:4">
      <c r="A40" s="6">
        <v>965095</v>
      </c>
      <c r="B40" s="5">
        <v>3571200000</v>
      </c>
      <c r="C40" s="6" t="s">
        <v>95</v>
      </c>
      <c r="D40" s="6" t="s">
        <v>77</v>
      </c>
    </row>
    <row r="41" spans="1:4">
      <c r="A41" s="6">
        <v>965096</v>
      </c>
      <c r="B41" s="5">
        <v>3600000000</v>
      </c>
      <c r="C41" s="6" t="s">
        <v>96</v>
      </c>
      <c r="D41" s="6" t="s">
        <v>77</v>
      </c>
    </row>
    <row r="42" spans="1:4">
      <c r="A42" s="6">
        <v>965097</v>
      </c>
      <c r="B42" s="5">
        <v>3600000000</v>
      </c>
      <c r="C42" s="6" t="s">
        <v>97</v>
      </c>
      <c r="D42" s="6" t="s">
        <v>77</v>
      </c>
    </row>
    <row r="43" spans="1:4">
      <c r="A43" s="6">
        <v>965098</v>
      </c>
      <c r="B43" s="5">
        <v>3600000000</v>
      </c>
      <c r="C43" s="6" t="s">
        <v>98</v>
      </c>
      <c r="D43" s="6" t="s">
        <v>77</v>
      </c>
    </row>
    <row r="44" spans="1:4">
      <c r="A44" s="6">
        <v>965099</v>
      </c>
      <c r="B44" s="5">
        <v>3600000000</v>
      </c>
      <c r="C44" s="6" t="s">
        <v>99</v>
      </c>
      <c r="D44" s="6" t="s">
        <v>77</v>
      </c>
    </row>
    <row r="46" spans="1:4" ht="30" customHeight="1">
      <c r="A46" s="102" t="s">
        <v>80</v>
      </c>
      <c r="B46" s="102"/>
      <c r="C46" s="102"/>
      <c r="D46" s="102"/>
    </row>
    <row r="47" spans="1:4">
      <c r="A47" s="6">
        <v>965082</v>
      </c>
      <c r="B47" s="5">
        <v>1870000000</v>
      </c>
      <c r="C47" s="6" t="s">
        <v>81</v>
      </c>
      <c r="D47" s="6" t="s">
        <v>82</v>
      </c>
    </row>
    <row r="48" spans="1:4">
      <c r="A48" s="6">
        <v>965081</v>
      </c>
      <c r="B48" s="5">
        <v>2640000000</v>
      </c>
      <c r="C48" s="6" t="s">
        <v>83</v>
      </c>
      <c r="D48" s="6" t="s">
        <v>82</v>
      </c>
    </row>
    <row r="49" spans="1:8">
      <c r="A49" s="6">
        <v>965086</v>
      </c>
      <c r="B49" s="5">
        <v>2280000000</v>
      </c>
      <c r="C49" s="6" t="s">
        <v>89</v>
      </c>
      <c r="D49" s="6" t="s">
        <v>82</v>
      </c>
    </row>
    <row r="50" spans="1:8">
      <c r="A50" s="6">
        <v>965087</v>
      </c>
      <c r="B50" s="5">
        <v>3000000000</v>
      </c>
      <c r="C50" s="6" t="s">
        <v>90</v>
      </c>
      <c r="D50" s="6" t="s">
        <v>82</v>
      </c>
    </row>
    <row r="51" spans="1:8">
      <c r="A51" s="6">
        <v>965100</v>
      </c>
      <c r="B51" s="5">
        <v>2640000000</v>
      </c>
      <c r="C51" s="6" t="s">
        <v>100</v>
      </c>
      <c r="D51" s="6" t="s">
        <v>82</v>
      </c>
    </row>
    <row r="52" spans="1:8">
      <c r="H52" s="69">
        <f>B49+B35</f>
        <v>4936000000</v>
      </c>
    </row>
    <row r="53" spans="1:8" ht="24.75" customHeight="1">
      <c r="A53" s="111" t="s">
        <v>93</v>
      </c>
      <c r="B53" s="111"/>
      <c r="C53" s="111"/>
      <c r="D53" s="111"/>
    </row>
    <row r="54" spans="1:8">
      <c r="A54" s="6">
        <v>965094</v>
      </c>
      <c r="B54" s="72">
        <v>1589350000</v>
      </c>
      <c r="C54" s="6" t="s">
        <v>94</v>
      </c>
      <c r="D54" s="6" t="s">
        <v>93</v>
      </c>
    </row>
    <row r="56" spans="1:8" ht="23.25">
      <c r="A56" s="102" t="s">
        <v>77</v>
      </c>
      <c r="B56" s="102"/>
      <c r="C56" s="102"/>
      <c r="D56" s="102"/>
      <c r="E56" t="s">
        <v>111</v>
      </c>
    </row>
    <row r="57" spans="1:8">
      <c r="A57" s="6">
        <v>352063</v>
      </c>
      <c r="B57" s="72">
        <v>2380800000</v>
      </c>
      <c r="C57" s="6" t="s">
        <v>110</v>
      </c>
      <c r="D57" s="6" t="s">
        <v>77</v>
      </c>
    </row>
    <row r="59" spans="1:8" ht="23.25">
      <c r="A59" s="102" t="s">
        <v>113</v>
      </c>
      <c r="B59" s="102"/>
      <c r="C59" s="102"/>
      <c r="D59" s="102"/>
    </row>
    <row r="60" spans="1:8">
      <c r="A60" s="82">
        <v>965101</v>
      </c>
      <c r="B60" s="83">
        <v>5000000000</v>
      </c>
      <c r="C60" s="82" t="s">
        <v>117</v>
      </c>
      <c r="D60" s="82" t="s">
        <v>114</v>
      </c>
    </row>
    <row r="61" spans="1:8">
      <c r="A61" s="75">
        <v>965102</v>
      </c>
      <c r="B61" s="76">
        <v>5000000000</v>
      </c>
      <c r="C61" s="75" t="s">
        <v>118</v>
      </c>
      <c r="D61" s="75" t="s">
        <v>114</v>
      </c>
    </row>
    <row r="62" spans="1:8">
      <c r="A62" s="75">
        <v>352064</v>
      </c>
      <c r="B62" s="76">
        <v>5000000000</v>
      </c>
      <c r="C62" s="75" t="s">
        <v>119</v>
      </c>
      <c r="D62" s="75" t="s">
        <v>115</v>
      </c>
    </row>
    <row r="63" spans="1:8">
      <c r="A63" s="75">
        <v>965103</v>
      </c>
      <c r="B63" s="76">
        <v>5000000000</v>
      </c>
      <c r="C63" s="75" t="s">
        <v>120</v>
      </c>
      <c r="D63" s="75" t="s">
        <v>114</v>
      </c>
    </row>
    <row r="64" spans="1:8">
      <c r="A64" s="75">
        <v>510714</v>
      </c>
      <c r="B64" s="76">
        <v>5000000000</v>
      </c>
      <c r="C64" s="75" t="s">
        <v>121</v>
      </c>
      <c r="D64" s="75" t="s">
        <v>116</v>
      </c>
    </row>
    <row r="65" spans="1:4">
      <c r="A65" s="75">
        <v>352068</v>
      </c>
      <c r="B65" s="76">
        <v>5000000000</v>
      </c>
      <c r="C65" s="75" t="s">
        <v>122</v>
      </c>
      <c r="D65" s="75" t="s">
        <v>115</v>
      </c>
    </row>
    <row r="66" spans="1:4">
      <c r="A66" s="75">
        <v>352065</v>
      </c>
      <c r="B66" s="76">
        <v>5000000000</v>
      </c>
      <c r="C66" s="75" t="s">
        <v>123</v>
      </c>
      <c r="D66" s="75" t="s">
        <v>115</v>
      </c>
    </row>
    <row r="67" spans="1:4">
      <c r="A67" s="75">
        <v>510712</v>
      </c>
      <c r="B67" s="76">
        <v>5000000000</v>
      </c>
      <c r="C67" s="75" t="s">
        <v>124</v>
      </c>
      <c r="D67" s="75" t="s">
        <v>116</v>
      </c>
    </row>
    <row r="68" spans="1:4">
      <c r="A68" s="75">
        <v>965104</v>
      </c>
      <c r="B68" s="76">
        <v>5000000000</v>
      </c>
      <c r="C68" s="75" t="s">
        <v>125</v>
      </c>
      <c r="D68" s="75" t="s">
        <v>114</v>
      </c>
    </row>
    <row r="69" spans="1:4">
      <c r="A69" s="75">
        <v>510713</v>
      </c>
      <c r="B69" s="76">
        <v>5000000000</v>
      </c>
      <c r="C69" s="75" t="s">
        <v>126</v>
      </c>
      <c r="D69" s="75" t="s">
        <v>116</v>
      </c>
    </row>
    <row r="70" spans="1:4">
      <c r="A70" s="75">
        <v>965105</v>
      </c>
      <c r="B70" s="76">
        <v>5000000000</v>
      </c>
      <c r="C70" s="75" t="s">
        <v>148</v>
      </c>
      <c r="D70" s="75" t="s">
        <v>114</v>
      </c>
    </row>
    <row r="71" spans="1:4">
      <c r="A71" s="75">
        <v>352067</v>
      </c>
      <c r="B71" s="76">
        <v>5000000000</v>
      </c>
      <c r="C71" s="75" t="s">
        <v>99</v>
      </c>
      <c r="D71" s="75" t="s">
        <v>115</v>
      </c>
    </row>
    <row r="72" spans="1:4">
      <c r="A72" s="75">
        <v>352066</v>
      </c>
      <c r="B72" s="76">
        <v>5000000000</v>
      </c>
      <c r="C72" s="75" t="s">
        <v>127</v>
      </c>
      <c r="D72" s="75" t="s">
        <v>115</v>
      </c>
    </row>
    <row r="73" spans="1:4">
      <c r="A73" s="75">
        <v>965106</v>
      </c>
      <c r="B73" s="76">
        <v>5000000000</v>
      </c>
      <c r="C73" s="75" t="s">
        <v>128</v>
      </c>
      <c r="D73" s="75" t="s">
        <v>114</v>
      </c>
    </row>
    <row r="74" spans="1:4">
      <c r="A74" s="75">
        <v>510715</v>
      </c>
      <c r="B74" s="76">
        <v>5000000000</v>
      </c>
      <c r="C74" s="75" t="s">
        <v>129</v>
      </c>
      <c r="D74" s="75" t="s">
        <v>116</v>
      </c>
    </row>
    <row r="75" spans="1:4">
      <c r="A75" s="75">
        <v>352069</v>
      </c>
      <c r="B75" s="76">
        <v>5000000000</v>
      </c>
      <c r="C75" s="75" t="s">
        <v>130</v>
      </c>
      <c r="D75" s="75" t="s">
        <v>115</v>
      </c>
    </row>
    <row r="76" spans="1:4">
      <c r="A76" s="75">
        <v>352070</v>
      </c>
      <c r="B76" s="76">
        <v>5000000000</v>
      </c>
      <c r="C76" s="75" t="s">
        <v>131</v>
      </c>
      <c r="D76" s="75" t="s">
        <v>115</v>
      </c>
    </row>
    <row r="77" spans="1:4">
      <c r="A77" s="75">
        <v>352073</v>
      </c>
      <c r="B77" s="76">
        <v>5000000000</v>
      </c>
      <c r="C77" s="75" t="s">
        <v>138</v>
      </c>
      <c r="D77" s="75" t="s">
        <v>115</v>
      </c>
    </row>
    <row r="78" spans="1:4">
      <c r="A78" s="75">
        <v>352071</v>
      </c>
      <c r="B78" s="76">
        <v>5000000000</v>
      </c>
      <c r="C78" s="75" t="s">
        <v>132</v>
      </c>
      <c r="D78" s="75" t="s">
        <v>115</v>
      </c>
    </row>
    <row r="79" spans="1:4">
      <c r="A79" s="75">
        <v>965107</v>
      </c>
      <c r="B79" s="76">
        <v>5000000000</v>
      </c>
      <c r="C79" s="75" t="s">
        <v>133</v>
      </c>
      <c r="D79" s="75" t="s">
        <v>114</v>
      </c>
    </row>
    <row r="80" spans="1:4">
      <c r="A80" s="75">
        <v>965108</v>
      </c>
      <c r="B80" s="76">
        <v>5000000000</v>
      </c>
      <c r="C80" s="75" t="s">
        <v>134</v>
      </c>
      <c r="D80" s="75" t="s">
        <v>114</v>
      </c>
    </row>
    <row r="81" spans="1:4">
      <c r="A81" s="75">
        <v>510716</v>
      </c>
      <c r="B81" s="76">
        <v>5000000000</v>
      </c>
      <c r="C81" s="75" t="s">
        <v>135</v>
      </c>
      <c r="D81" s="75" t="s">
        <v>116</v>
      </c>
    </row>
    <row r="82" spans="1:4">
      <c r="A82" s="75">
        <v>510717</v>
      </c>
      <c r="B82" s="76">
        <v>5000000000</v>
      </c>
      <c r="C82" s="75" t="s">
        <v>136</v>
      </c>
      <c r="D82" s="75" t="s">
        <v>116</v>
      </c>
    </row>
    <row r="83" spans="1:4">
      <c r="A83" s="75">
        <v>352072</v>
      </c>
      <c r="B83" s="76">
        <v>5000000000</v>
      </c>
      <c r="C83" s="75" t="s">
        <v>137</v>
      </c>
      <c r="D83" s="75" t="s">
        <v>115</v>
      </c>
    </row>
    <row r="84" spans="1:4">
      <c r="B84" s="77">
        <f>SUM(B60:B83)</f>
        <v>120000000000</v>
      </c>
    </row>
    <row r="85" spans="1:4">
      <c r="A85" s="105" t="s">
        <v>140</v>
      </c>
      <c r="B85" s="105"/>
      <c r="C85" s="105"/>
      <c r="D85" s="105"/>
    </row>
    <row r="86" spans="1:4">
      <c r="A86" s="75">
        <v>965109</v>
      </c>
      <c r="B86" s="76">
        <v>1000000000</v>
      </c>
      <c r="C86" s="75" t="s">
        <v>142</v>
      </c>
      <c r="D86" s="75" t="s">
        <v>114</v>
      </c>
    </row>
    <row r="87" spans="1:4">
      <c r="A87" s="75">
        <v>965110</v>
      </c>
      <c r="B87" s="76">
        <v>1000000000</v>
      </c>
      <c r="C87" s="78" t="s">
        <v>139</v>
      </c>
      <c r="D87" s="75" t="s">
        <v>114</v>
      </c>
    </row>
    <row r="89" spans="1:4">
      <c r="A89" s="104" t="s">
        <v>144</v>
      </c>
      <c r="B89" s="104"/>
      <c r="C89" s="104"/>
      <c r="D89" s="104"/>
    </row>
    <row r="90" spans="1:4">
      <c r="A90" s="75">
        <v>965113</v>
      </c>
      <c r="B90" s="76">
        <v>1357338322</v>
      </c>
      <c r="C90" s="75" t="s">
        <v>145</v>
      </c>
      <c r="D90" s="75" t="s">
        <v>114</v>
      </c>
    </row>
    <row r="92" spans="1:4">
      <c r="A92" s="103" t="s">
        <v>147</v>
      </c>
      <c r="B92" s="103"/>
      <c r="C92" s="103"/>
      <c r="D92" s="103"/>
    </row>
    <row r="93" spans="1:4">
      <c r="A93" s="75">
        <v>510733</v>
      </c>
      <c r="B93" s="76">
        <v>1179536329</v>
      </c>
      <c r="C93" s="75" t="s">
        <v>146</v>
      </c>
      <c r="D93" s="75" t="s">
        <v>116</v>
      </c>
    </row>
    <row r="95" spans="1:4">
      <c r="A95" s="112" t="s">
        <v>150</v>
      </c>
      <c r="B95" s="112"/>
      <c r="C95" s="112"/>
      <c r="D95" s="112"/>
    </row>
    <row r="96" spans="1:4">
      <c r="A96" s="75">
        <v>965120</v>
      </c>
      <c r="B96" s="76">
        <v>1460000000</v>
      </c>
      <c r="C96" s="75" t="s">
        <v>133</v>
      </c>
      <c r="D96" s="75" t="s">
        <v>114</v>
      </c>
    </row>
    <row r="97" spans="1:4">
      <c r="A97" s="75">
        <v>965121</v>
      </c>
      <c r="B97" s="76">
        <v>1480000000</v>
      </c>
      <c r="C97" s="75" t="s">
        <v>149</v>
      </c>
      <c r="D97" s="75" t="s">
        <v>114</v>
      </c>
    </row>
    <row r="98" spans="1:4">
      <c r="A98" s="84"/>
      <c r="B98" s="85">
        <f>SUM(B96:B97)</f>
        <v>2940000000</v>
      </c>
      <c r="C98" s="84"/>
      <c r="D98" s="84"/>
    </row>
    <row r="100" spans="1:4">
      <c r="A100" s="103" t="s">
        <v>152</v>
      </c>
      <c r="B100" s="103"/>
      <c r="C100" s="103"/>
      <c r="D100" s="103"/>
    </row>
    <row r="101" spans="1:4">
      <c r="A101" s="75">
        <v>965129</v>
      </c>
      <c r="B101" s="76">
        <v>1232000000</v>
      </c>
      <c r="C101" s="75" t="s">
        <v>153</v>
      </c>
      <c r="D101" s="75" t="s">
        <v>114</v>
      </c>
    </row>
    <row r="102" spans="1:4">
      <c r="A102" s="75">
        <v>965130</v>
      </c>
      <c r="B102" s="76">
        <v>1232000000</v>
      </c>
      <c r="C102" s="75" t="s">
        <v>154</v>
      </c>
      <c r="D102" s="75" t="s">
        <v>114</v>
      </c>
    </row>
    <row r="103" spans="1:4">
      <c r="A103" s="75">
        <v>510734</v>
      </c>
      <c r="B103" s="76">
        <v>550000000</v>
      </c>
      <c r="C103" s="75" t="s">
        <v>153</v>
      </c>
      <c r="D103" s="75" t="s">
        <v>155</v>
      </c>
    </row>
    <row r="104" spans="1:4">
      <c r="B104" s="77">
        <f>SUM(B101:B103)</f>
        <v>3014000000</v>
      </c>
    </row>
    <row r="106" spans="1:4" ht="23.25">
      <c r="A106" s="102" t="s">
        <v>113</v>
      </c>
      <c r="B106" s="102"/>
      <c r="C106" s="102"/>
      <c r="D106" s="102"/>
    </row>
    <row r="107" spans="1:4">
      <c r="A107" s="73">
        <v>965122</v>
      </c>
      <c r="B107" s="74">
        <v>5000000000</v>
      </c>
      <c r="C107" s="73" t="s">
        <v>162</v>
      </c>
      <c r="D107" s="73" t="s">
        <v>115</v>
      </c>
    </row>
    <row r="108" spans="1:4">
      <c r="A108" s="73">
        <v>352076</v>
      </c>
      <c r="B108" s="74">
        <v>5000000000</v>
      </c>
      <c r="C108" s="73" t="s">
        <v>166</v>
      </c>
      <c r="D108" s="73" t="s">
        <v>114</v>
      </c>
    </row>
    <row r="109" spans="1:4">
      <c r="A109" s="73">
        <v>352077</v>
      </c>
      <c r="B109" s="74">
        <v>5000000000</v>
      </c>
      <c r="C109" s="73" t="s">
        <v>164</v>
      </c>
      <c r="D109" s="73" t="s">
        <v>115</v>
      </c>
    </row>
    <row r="110" spans="1:4">
      <c r="A110" s="73">
        <v>965123</v>
      </c>
      <c r="B110" s="74">
        <v>5000000000</v>
      </c>
      <c r="C110" s="73" t="s">
        <v>163</v>
      </c>
      <c r="D110" s="73" t="s">
        <v>114</v>
      </c>
    </row>
    <row r="111" spans="1:4">
      <c r="A111" s="73">
        <v>965124</v>
      </c>
      <c r="B111" s="74">
        <v>5000000000</v>
      </c>
      <c r="C111" s="73" t="s">
        <v>167</v>
      </c>
      <c r="D111" s="73" t="s">
        <v>114</v>
      </c>
    </row>
    <row r="112" spans="1:4">
      <c r="A112" s="73">
        <v>352078</v>
      </c>
      <c r="B112" s="74">
        <v>5000000000</v>
      </c>
      <c r="C112" s="73" t="s">
        <v>165</v>
      </c>
      <c r="D112" s="73" t="s">
        <v>115</v>
      </c>
    </row>
    <row r="113" spans="1:4">
      <c r="A113" s="73">
        <v>965125</v>
      </c>
      <c r="B113" s="74">
        <v>5000000000</v>
      </c>
      <c r="C113" s="73" t="s">
        <v>159</v>
      </c>
      <c r="D113" s="73" t="s">
        <v>114</v>
      </c>
    </row>
    <row r="114" spans="1:4">
      <c r="A114" s="73">
        <v>352079</v>
      </c>
      <c r="B114" s="74">
        <v>5000000000</v>
      </c>
      <c r="C114" s="73" t="s">
        <v>158</v>
      </c>
      <c r="D114" s="73" t="s">
        <v>115</v>
      </c>
    </row>
    <row r="115" spans="1:4">
      <c r="A115" s="73">
        <v>965126</v>
      </c>
      <c r="B115" s="74">
        <v>5000000000</v>
      </c>
      <c r="C115" s="73" t="s">
        <v>160</v>
      </c>
      <c r="D115" s="73" t="s">
        <v>114</v>
      </c>
    </row>
    <row r="116" spans="1:4">
      <c r="A116" s="73">
        <v>352080</v>
      </c>
      <c r="B116" s="74">
        <v>5000000000</v>
      </c>
      <c r="C116" s="73" t="s">
        <v>157</v>
      </c>
      <c r="D116" s="73" t="s">
        <v>115</v>
      </c>
    </row>
    <row r="117" spans="1:4">
      <c r="A117" s="73">
        <v>352081</v>
      </c>
      <c r="B117" s="74">
        <v>5000000000</v>
      </c>
      <c r="C117" s="73" t="s">
        <v>156</v>
      </c>
      <c r="D117" s="73" t="s">
        <v>115</v>
      </c>
    </row>
    <row r="118" spans="1:4">
      <c r="A118" s="73">
        <v>965127</v>
      </c>
      <c r="B118" s="74">
        <v>5000000000</v>
      </c>
      <c r="C118" s="73" t="s">
        <v>161</v>
      </c>
      <c r="D118" s="73" t="s">
        <v>114</v>
      </c>
    </row>
    <row r="119" spans="1:4">
      <c r="B119" s="77">
        <f>SUM(B107:B118)</f>
        <v>60000000000</v>
      </c>
    </row>
    <row r="121" spans="1:4" ht="23.25">
      <c r="A121" s="102" t="s">
        <v>113</v>
      </c>
      <c r="B121" s="102"/>
      <c r="C121" s="102"/>
      <c r="D121" s="102"/>
    </row>
    <row r="122" spans="1:4">
      <c r="A122" s="75">
        <v>352082</v>
      </c>
      <c r="B122" s="76">
        <v>10000000000</v>
      </c>
      <c r="C122" s="75" t="s">
        <v>168</v>
      </c>
      <c r="D122" s="75" t="s">
        <v>115</v>
      </c>
    </row>
    <row r="123" spans="1:4">
      <c r="A123" s="75">
        <v>965131</v>
      </c>
      <c r="B123" s="76">
        <v>10000000000</v>
      </c>
      <c r="C123" s="75" t="s">
        <v>169</v>
      </c>
      <c r="D123" s="75" t="s">
        <v>114</v>
      </c>
    </row>
    <row r="124" spans="1:4">
      <c r="A124" s="75">
        <v>352083</v>
      </c>
      <c r="B124" s="76">
        <v>10000000000</v>
      </c>
      <c r="C124" s="75" t="s">
        <v>170</v>
      </c>
      <c r="D124" s="75" t="s">
        <v>115</v>
      </c>
    </row>
    <row r="125" spans="1:4">
      <c r="A125" s="73">
        <v>965132</v>
      </c>
      <c r="B125" s="74">
        <v>10000000000</v>
      </c>
      <c r="C125" s="73" t="s">
        <v>171</v>
      </c>
      <c r="D125" s="73" t="s">
        <v>114</v>
      </c>
    </row>
    <row r="126" spans="1:4">
      <c r="A126" s="73">
        <v>352084</v>
      </c>
      <c r="B126" s="74">
        <v>10000000000</v>
      </c>
      <c r="C126" s="73" t="s">
        <v>172</v>
      </c>
      <c r="D126" s="73" t="s">
        <v>115</v>
      </c>
    </row>
    <row r="127" spans="1:4">
      <c r="A127" s="73">
        <v>965133</v>
      </c>
      <c r="B127" s="74">
        <v>10000000000</v>
      </c>
      <c r="C127" s="73" t="s">
        <v>166</v>
      </c>
      <c r="D127" s="73" t="s">
        <v>115</v>
      </c>
    </row>
    <row r="128" spans="1:4">
      <c r="B128" s="77">
        <f>SUM(B122:B127)</f>
        <v>60000000000</v>
      </c>
    </row>
    <row r="130" spans="1:4" ht="23.25">
      <c r="A130" s="102" t="s">
        <v>177</v>
      </c>
      <c r="B130" s="102"/>
      <c r="C130" s="102"/>
      <c r="D130" s="102"/>
    </row>
    <row r="131" spans="1:4">
      <c r="A131" s="73">
        <v>352085</v>
      </c>
      <c r="B131" s="74">
        <v>4675000000</v>
      </c>
      <c r="C131" s="73" t="s">
        <v>178</v>
      </c>
      <c r="D131" s="73" t="s">
        <v>115</v>
      </c>
    </row>
  </sheetData>
  <sortState xmlns:xlrd2="http://schemas.microsoft.com/office/spreadsheetml/2017/richdata2" ref="C111:C118">
    <sortCondition ref="C118"/>
  </sortState>
  <mergeCells count="18">
    <mergeCell ref="A33:D33"/>
    <mergeCell ref="A106:D106"/>
    <mergeCell ref="A59:D59"/>
    <mergeCell ref="A56:D56"/>
    <mergeCell ref="A1:D1"/>
    <mergeCell ref="A17:D17"/>
    <mergeCell ref="A22:D22"/>
    <mergeCell ref="A29:D29"/>
    <mergeCell ref="A30:D30"/>
    <mergeCell ref="A53:D53"/>
    <mergeCell ref="A46:D46"/>
    <mergeCell ref="A100:D100"/>
    <mergeCell ref="A95:D95"/>
    <mergeCell ref="A130:D130"/>
    <mergeCell ref="A92:D92"/>
    <mergeCell ref="A89:D89"/>
    <mergeCell ref="A85:D85"/>
    <mergeCell ref="A121:D121"/>
  </mergeCells>
  <phoneticPr fontId="36" type="noConversion"/>
  <pageMargins left="0.7" right="0.7" top="0.75" bottom="0.75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Sheet2!Print_Area</vt:lpstr>
      <vt:lpstr>Sheet3!Print_Area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acc11</dc:creator>
  <cp:lastModifiedBy>acc5</cp:lastModifiedBy>
  <cp:lastPrinted>2026-09-05T05:16:31Z</cp:lastPrinted>
  <dcterms:created xsi:type="dcterms:W3CDTF">2022-08-14T06:30:14Z</dcterms:created>
  <dcterms:modified xsi:type="dcterms:W3CDTF">2026-09-05T05:43:17Z</dcterms:modified>
</cp:coreProperties>
</file>