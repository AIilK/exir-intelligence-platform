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D0ED6170-EA45-492F-AB16-2C8F8583A2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F29" i="3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<sst xmlns="http://schemas.openxmlformats.org/spreadsheetml/2006/main" count="293" uniqueCount="183">
  <si>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</si>
  <si>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</si>
  <si>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</si>
  <si>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</si>
  <si>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</si>
  <si>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</si>
  <si>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</si>
  <si>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</si>
  <si>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</si>
  <si>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</si>
  <si>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</si>
  <si>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</si>
  <si>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</si>
  <si>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</si>
  <si>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</si>
  <si>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</si>
  <si>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</si>
  <si>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</si>
  <si>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</si>
  <si>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</si>
  <si>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</si>
  <si>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</si>
  <si>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</si>
  <si>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</si>
  <si>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</si>
  <si>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</si>
  <si>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</si>
  <si>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</si>
  <si>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</si>
  <si>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</si>
  <si>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</si>
  <si>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</si>
  <si>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</si>
  <si>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</si>
  <si>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</si>
  <si>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</si>
  <si>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</si>
  <si>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</si>
  <si>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</si>
  <si>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</si>
  <si>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</si>
  <si>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</si>
  <si>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</si>
  <si>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</si>
  <si>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</si>
  <si>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</si>
  <si>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</si>
  <si>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</si>
  <si>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</si>
  <si>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</si>
  <si>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</si>
  <si>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</si>
  <si>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</si>
  <si>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</si>
  <si>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</si>
  <si>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</si>
  <si>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</si>
  <si>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</si>
  <si>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</si>
  <si>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</si>
  <si>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</si>
  <si>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</si>
  <si>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</si>
  <si>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</si>
  <si>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</si>
  <si>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</si>
  <si>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</si>
  <si>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</si>
  <si>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</si>
  <si>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</si>
  <si>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</si>
  <si>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</si>
  <si>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</si>
  <si>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</si>
  <si>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</si>
  <si>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</si>
  <si>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</si>
  <si>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</si>
  <si>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</si>
  <si>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</si>
  <si>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</si>
  <si>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</si>
  <si>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</si>
  <si>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</si>
  <si>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</si>
  <si>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</si>
  <si>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</si>
  <si>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</si>
  <si>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</si>
  <si>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</si>
  <si>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</si>
  <si>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</si>
  <si>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</si>
  <si>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</si>
  <si>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</si>
  <si>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</si>
  <si>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</si>
  <si>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</si>
  <si>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</si>
  <si>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</si>
  <si>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</si>
  <si>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</si>
  <si>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</si>
  <si>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</si>
  <si>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</si>
  <si>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</si>
  <si>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</si>
  <si>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</si>
  <si>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</si>
  <si>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</si>
  <si>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</si>
  <si>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</si>
  <si>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</si>
  <si>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</si>
  <si>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</si>
  <si>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</si>
  <si>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</si>
  <si>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</si>
  <si>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</si>
  <si>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</si>
  <si>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</si>
  <si>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</si>
  <si>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</si>
  <si>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</si>
  <si>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</si>
  <si>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</si>
  <si>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</si>
  <si>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</si>
  <si>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</si>
  <si>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</si>
  <si>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</si>
  <si>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</si>
  <si>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</si>
  <si>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</si>
  <si>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</si>
  <si>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</si>
  <si>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</si>
  <si>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</si>
  <si>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</si>
  <si>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</si>
  <si>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</si>
  <si>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</si>
  <si>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</si>
  <si>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</si>
  <si>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</si>
  <si>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</si>
  <si>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</si>
  <si>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</si>
  <si>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</si>
  <si>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</si>
  <si>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</si>
  <si>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</si>
  <si>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</si>
  <si>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</si>
  <si>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</si>
  <si>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</si>
  <si>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</si>
  <si>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</si>
  <si>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</si>
  <si>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</si>
  <si>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</si>
  <si>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</si>
  <si>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</si>
  <si>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</si>
  <si>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</si>
  <si>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</si>
  <si>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</si>
  <si>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</si>
  <si>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</si>
  <si>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</si>
  <si>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</si>
  <si>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</si>
  <si>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</si>
  <si>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</si>
  <si>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</si>
  <si>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</si>
  <si>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</si>
  <si>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سیمای هنر و صنعت کیش</t>
  </si>
  <si>
    <t>1405/07/10</t>
  </si>
  <si>
    <t>چک های پرداختنی
تا تاریخ 05/06/18</t>
  </si>
  <si>
    <t>1405/06/16</t>
  </si>
  <si>
    <t>چک های پرداختی قبل ازتاریخ 05/06/16</t>
  </si>
  <si>
    <t xml:space="preserve">              تاریخ:1405/06/16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</si>
</sst>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19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3" fontId="27" fillId="2" borderId="1" xfId="0" applyNumberFormat="1" applyFont="1" applyFill="1" applyBorder="1" applyAlignment="1">
      <alignment horizontal="center" wrapTex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tabSelected="1" view="pageBreakPreview" topLeftCell="A16" zoomScale="80" zoomScaleNormal="90" zoomScaleSheetLayoutView="80" workbookViewId="0">
      <selection activeCell="G17" sqref="G17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95" t="s">
        <v>180</v>
      </c>
      <c r="C2" s="95"/>
      <c r="D2" s="95"/>
      <c r="E2" s="95"/>
      <c r="F2" s="95"/>
      <c r="G2" s="95"/>
      <c r="H2" s="95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181</v>
      </c>
      <c r="F3" s="37" t="s">
        <v>179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113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113">
        <v>2974596920</v>
      </c>
      <c r="E6" s="53">
        <v>898419357</v>
      </c>
      <c r="F6" s="53"/>
      <c r="G6" s="54"/>
      <c r="H6" s="55">
        <f>D6-E6-F6</f>
        <v>2076177563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113">
        <v>3408952664</v>
      </c>
      <c r="E7" s="53"/>
      <c r="F7" s="53"/>
      <c r="G7" s="54"/>
      <c r="H7" s="55">
        <f>D7-E7-F7</f>
        <v>3408952664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113">
        <v>6485547</v>
      </c>
      <c r="E8" s="53"/>
      <c r="F8" s="53"/>
      <c r="G8" s="54"/>
      <c r="H8" s="55">
        <f t="shared" ref="H8:H11" si="0">D8-E8</f>
        <v>6485547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113">
        <v>15322529</v>
      </c>
      <c r="E9" s="53"/>
      <c r="F9" s="53"/>
      <c r="G9" s="54"/>
      <c r="H9" s="55">
        <f t="shared" si="0"/>
        <v>15322529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113">
        <v>755939778</v>
      </c>
      <c r="E10" s="53">
        <v>752493936</v>
      </c>
      <c r="F10" s="53"/>
      <c r="G10" s="54"/>
      <c r="H10" s="55">
        <f>D10-E10-F10</f>
        <v>3445842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113">
        <v>8970955466</v>
      </c>
      <c r="E11" s="53"/>
      <c r="F11" s="53"/>
      <c r="G11" s="54"/>
      <c r="H11" s="55">
        <f t="shared" si="0"/>
        <v>8970955466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2" t="s">
        <v>47</v>
      </c>
      <c r="C12" s="93"/>
      <c r="D12" s="93"/>
      <c r="E12" s="93"/>
      <c r="F12" s="93"/>
      <c r="G12" s="93"/>
      <c r="H12" s="9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113">
        <v>93615375</v>
      </c>
      <c r="E13" s="53"/>
      <c r="F13" s="53"/>
      <c r="G13" s="53"/>
      <c r="H13" s="55">
        <f>D13-E13-F13</f>
        <v>93615375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113">
        <v>915791318</v>
      </c>
      <c r="E14" s="53"/>
      <c r="F14" s="53"/>
      <c r="G14" s="54"/>
      <c r="H14" s="55">
        <f>D14-E14</f>
        <v>915791318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113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113">
        <v>7901790000</v>
      </c>
      <c r="E16" s="53"/>
      <c r="F16" s="53">
        <v>13783748200</v>
      </c>
      <c r="G16" s="54"/>
      <c r="H16" s="55">
        <f>D16-E16-F16</f>
        <v>-5881958200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113">
        <v>15201067950</v>
      </c>
      <c r="E17" s="53"/>
      <c r="F17" s="53"/>
      <c r="G17" s="54"/>
      <c r="H17" s="55">
        <f>D17-E17</f>
        <v>15201067950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113">
        <v>1097204117</v>
      </c>
      <c r="E18" s="53"/>
      <c r="F18" s="53"/>
      <c r="G18" s="54"/>
      <c r="H18" s="55">
        <f>D18-E18-F18</f>
        <v>1097204117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2" t="s">
        <v>8</v>
      </c>
      <c r="C19" s="93"/>
      <c r="D19" s="93"/>
      <c r="E19" s="93"/>
      <c r="F19" s="93"/>
      <c r="G19" s="93"/>
      <c r="H19" s="9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113">
        <v>714764</v>
      </c>
      <c r="E20" s="53"/>
      <c r="F20" s="53"/>
      <c r="G20" s="54"/>
      <c r="H20" s="55">
        <f t="shared" ref="H20:H24" si="1">D20-E20</f>
        <v>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113">
        <v>8248790000</v>
      </c>
      <c r="E21" s="58">
        <v>592900000</v>
      </c>
      <c r="F21" s="54">
        <v>22658000000</v>
      </c>
      <c r="G21" s="58"/>
      <c r="H21" s="55">
        <f>D21-E21-F21</f>
        <v>-15002110000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113">
        <v>11818343655</v>
      </c>
      <c r="E22" s="58"/>
      <c r="F22" s="57"/>
      <c r="G22" s="58"/>
      <c r="H22" s="55">
        <f t="shared" si="1"/>
        <v>11818343655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113">
        <v>1814193836</v>
      </c>
      <c r="E23" s="57"/>
      <c r="F23" s="57"/>
      <c r="G23" s="58"/>
      <c r="H23" s="55">
        <f t="shared" si="1"/>
        <v>1814193836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113">
        <v>196880448</v>
      </c>
      <c r="E24" s="54"/>
      <c r="F24" s="57"/>
      <c r="G24" s="80"/>
      <c r="H24" s="55">
        <f t="shared" si="1"/>
        <v>196880448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113">
        <v>9280551588</v>
      </c>
      <c r="E25" s="54"/>
      <c r="F25" s="54">
        <v>5710000000</v>
      </c>
      <c r="G25" s="88"/>
      <c r="H25" s="55">
        <f>D25-E25-F25</f>
        <v>3570551588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72836698337</v>
      </c>
      <c r="E26" s="90">
        <f>SUM(E20:E25,E13:E18,E5:E11)</f>
        <v>2243813293</v>
      </c>
      <c r="F26" s="90">
        <f>SUM(F20:F25,F13:F18,F6:F11,F5)</f>
        <v>42151748200</v>
      </c>
      <c r="G26" s="66"/>
      <c r="H26" s="67">
        <f>SUM(H5:H11,H13:H18,H20:H25)</f>
        <v>28441136844</v>
      </c>
    </row>
    <row r="27" spans="1:34" ht="47.25" customHeight="1" thickBot="1">
      <c r="A27" s="7"/>
      <c r="B27" s="10"/>
      <c r="C27" s="11"/>
      <c r="D27" s="96" t="s">
        <v>175</v>
      </c>
      <c r="E27" s="97"/>
      <c r="F27" s="91">
        <f>SUM(E26:F26)</f>
        <v>44395561493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C13" sqref="C13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99" t="s">
        <v>180</v>
      </c>
      <c r="C1" s="100"/>
      <c r="D1" s="100"/>
      <c r="E1" s="100"/>
      <c r="F1" s="100"/>
      <c r="G1" s="101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181</v>
      </c>
      <c r="F2" s="37" t="s">
        <v>179</v>
      </c>
      <c r="G2" s="61" t="s">
        <v>3</v>
      </c>
    </row>
    <row r="3" spans="1:7" s="23" customFormat="1" ht="32.25" customHeight="1">
      <c r="A3" s="22"/>
      <c r="B3" s="98" t="s">
        <v>14</v>
      </c>
      <c r="C3" s="98"/>
      <c r="D3" s="98"/>
      <c r="E3" s="98"/>
      <c r="F3" s="98"/>
      <c r="G3" s="98"/>
    </row>
    <row r="4" spans="1:7" s="23" customFormat="1" ht="32.25" customHeight="1">
      <c r="A4" s="22"/>
      <c r="B4" s="44">
        <v>78</v>
      </c>
      <c r="C4" s="44" t="s">
        <v>15</v>
      </c>
      <c r="D4" s="115">
        <v>2769452</v>
      </c>
      <c r="E4" s="24">
        <v>0</v>
      </c>
      <c r="F4" s="38"/>
      <c r="G4" s="24">
        <f>D4-E4-F4</f>
        <v>2769452</v>
      </c>
    </row>
    <row r="5" spans="1:7" s="23" customFormat="1" ht="32.25" customHeight="1">
      <c r="A5" s="22"/>
      <c r="B5" s="44">
        <v>50</v>
      </c>
      <c r="C5" s="48" t="s">
        <v>23</v>
      </c>
      <c r="D5" s="115">
        <v>21595911</v>
      </c>
      <c r="E5" s="24"/>
      <c r="F5" s="38"/>
      <c r="G5" s="24">
        <f>D5-E5-F5</f>
        <v>21595911</v>
      </c>
    </row>
    <row r="6" spans="1:7" s="23" customFormat="1" ht="32.25" customHeight="1">
      <c r="A6" s="22"/>
      <c r="B6" s="44">
        <v>48</v>
      </c>
      <c r="C6" s="48" t="s">
        <v>16</v>
      </c>
      <c r="D6" s="115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115">
        <v>10118853207</v>
      </c>
      <c r="E7" s="68">
        <v>0</v>
      </c>
      <c r="F7" s="38"/>
      <c r="G7" s="24">
        <f>D7-E7</f>
        <v>10118853207</v>
      </c>
    </row>
    <row r="8" spans="1:7" s="23" customFormat="1" ht="32.25" customHeight="1">
      <c r="A8" s="22"/>
      <c r="B8" s="44">
        <v>92</v>
      </c>
      <c r="C8" s="48" t="s">
        <v>70</v>
      </c>
      <c r="D8" s="115">
        <v>16568237</v>
      </c>
      <c r="E8" s="24"/>
      <c r="F8" s="38"/>
      <c r="G8" s="24">
        <f>D8-E8</f>
        <v>16568237</v>
      </c>
    </row>
    <row r="9" spans="1:7" s="23" customFormat="1" ht="32.25" customHeight="1">
      <c r="A9" s="22"/>
      <c r="B9" s="44">
        <v>95</v>
      </c>
      <c r="C9" s="48" t="s">
        <v>17</v>
      </c>
      <c r="D9" s="115">
        <v>10244724727</v>
      </c>
      <c r="E9" s="24"/>
      <c r="F9" s="39"/>
      <c r="G9" s="24">
        <f>D9-E9-F9</f>
        <v>10244724727</v>
      </c>
    </row>
    <row r="10" spans="1:7" s="23" customFormat="1" ht="32.25" customHeight="1">
      <c r="A10" s="22"/>
      <c r="B10" s="44">
        <v>35</v>
      </c>
      <c r="C10" s="48" t="s">
        <v>18</v>
      </c>
      <c r="D10" s="115">
        <v>4374653012</v>
      </c>
      <c r="E10" s="68"/>
      <c r="F10" s="38"/>
      <c r="G10" s="24">
        <f>D10-E10-F10</f>
        <v>4374653012</v>
      </c>
    </row>
    <row r="11" spans="1:7" s="23" customFormat="1" ht="32.25" customHeight="1">
      <c r="A11" s="22"/>
      <c r="B11" s="44">
        <v>36</v>
      </c>
      <c r="C11" s="48" t="s">
        <v>109</v>
      </c>
      <c r="D11" s="115">
        <v>12172511913</v>
      </c>
      <c r="E11" s="68"/>
      <c r="F11" s="38"/>
      <c r="G11" s="24">
        <f>D11-E11-F11</f>
        <v>12172511913</v>
      </c>
    </row>
    <row r="12" spans="1:7" s="23" customFormat="1" ht="32.25" customHeight="1">
      <c r="A12" s="22"/>
      <c r="B12" s="45">
        <v>43</v>
      </c>
      <c r="C12" s="48" t="s">
        <v>31</v>
      </c>
      <c r="D12" s="114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37333722382</v>
      </c>
      <c r="E13" s="24">
        <f>SUM(E4:E12)</f>
        <v>0</v>
      </c>
      <c r="F13" s="25"/>
      <c r="G13" s="24">
        <f>SUM(G4:G12)</f>
        <v>37333722382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view="pageBreakPreview" zoomScale="85" zoomScaleNormal="115" zoomScaleSheetLayoutView="85" zoomScalePageLayoutView="110" workbookViewId="0">
      <selection activeCell="D5" sqref="D5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99" t="s">
        <v>182</v>
      </c>
      <c r="C2" s="100"/>
      <c r="D2" s="100"/>
      <c r="E2" s="100"/>
      <c r="F2" s="100"/>
      <c r="G2" s="100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181</v>
      </c>
      <c r="F3" s="37" t="s">
        <v>179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116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116">
        <v>13412958074</v>
      </c>
      <c r="E5" s="49">
        <v>10000000000</v>
      </c>
      <c r="F5" s="49"/>
      <c r="G5" s="31">
        <f>D5-E5-F5</f>
        <v>3412958074</v>
      </c>
      <c r="H5"/>
    </row>
    <row r="6" spans="1:8" ht="34.5" customHeight="1">
      <c r="A6" s="7"/>
      <c r="B6" s="70">
        <v>3</v>
      </c>
      <c r="C6" s="46" t="s">
        <v>21</v>
      </c>
      <c r="D6" s="116">
        <v>7083257973</v>
      </c>
      <c r="E6" s="49"/>
      <c r="F6" s="49"/>
      <c r="G6" s="31">
        <f t="shared" si="0"/>
        <v>7083257973</v>
      </c>
      <c r="H6"/>
    </row>
    <row r="7" spans="1:8" ht="34.5" customHeight="1">
      <c r="A7" s="7"/>
      <c r="B7" s="70">
        <v>4</v>
      </c>
      <c r="C7" s="46" t="s">
        <v>84</v>
      </c>
      <c r="D7" s="116">
        <v>4581694746</v>
      </c>
      <c r="E7" s="49"/>
      <c r="F7" s="49"/>
      <c r="G7" s="31">
        <f t="shared" si="0"/>
        <v>4581694746</v>
      </c>
      <c r="H7"/>
    </row>
    <row r="8" spans="1:8" ht="34.5" customHeight="1">
      <c r="A8" s="7"/>
      <c r="B8" s="70">
        <v>5</v>
      </c>
      <c r="C8" s="46" t="s">
        <v>59</v>
      </c>
      <c r="D8" s="117">
        <v>119</v>
      </c>
      <c r="E8" s="81"/>
      <c r="F8" s="81"/>
      <c r="G8" s="31">
        <f t="shared" si="0"/>
        <v>119</v>
      </c>
      <c r="H8"/>
    </row>
    <row r="9" spans="1:8" ht="34.5" customHeight="1">
      <c r="A9" s="7"/>
      <c r="B9" s="70">
        <v>6</v>
      </c>
      <c r="C9" s="46" t="s">
        <v>49</v>
      </c>
      <c r="D9" s="116">
        <v>6152485453</v>
      </c>
      <c r="E9" s="42"/>
      <c r="F9" s="42"/>
      <c r="G9" s="31">
        <f t="shared" si="0"/>
        <v>6152485453</v>
      </c>
      <c r="H9"/>
    </row>
    <row r="10" spans="1:8" ht="34.5" customHeight="1">
      <c r="A10" s="7"/>
      <c r="B10" s="70">
        <v>7</v>
      </c>
      <c r="C10" s="46" t="s">
        <v>48</v>
      </c>
      <c r="D10" s="117">
        <v>17816319</v>
      </c>
      <c r="E10" s="42"/>
      <c r="F10" s="42"/>
      <c r="G10" s="31">
        <f t="shared" si="0"/>
        <v>17816319</v>
      </c>
      <c r="H10"/>
    </row>
    <row r="11" spans="1:8" ht="34.5" customHeight="1">
      <c r="A11" s="7"/>
      <c r="B11" s="70">
        <v>8</v>
      </c>
      <c r="C11" s="46" t="s">
        <v>58</v>
      </c>
      <c r="D11" s="117">
        <v>87778845</v>
      </c>
      <c r="E11" s="42"/>
      <c r="F11" s="42"/>
      <c r="G11" s="31">
        <f t="shared" si="0"/>
        <v>87778845</v>
      </c>
      <c r="H11"/>
    </row>
    <row r="12" spans="1:8" ht="34.5" customHeight="1">
      <c r="A12" s="7"/>
      <c r="B12" s="70">
        <v>9</v>
      </c>
      <c r="C12" s="46" t="s">
        <v>60</v>
      </c>
      <c r="D12" s="117">
        <v>310513589</v>
      </c>
      <c r="E12" s="42"/>
      <c r="F12" s="42"/>
      <c r="G12" s="31">
        <f t="shared" si="0"/>
        <v>310513589</v>
      </c>
      <c r="H12"/>
    </row>
    <row r="13" spans="1:8" ht="34.5" customHeight="1">
      <c r="A13" s="7"/>
      <c r="B13" s="70">
        <v>10</v>
      </c>
      <c r="C13" s="46" t="s">
        <v>71</v>
      </c>
      <c r="D13" s="117">
        <v>364269411</v>
      </c>
      <c r="E13" s="42"/>
      <c r="F13" s="42"/>
      <c r="G13" s="31">
        <f t="shared" si="0"/>
        <v>364269411</v>
      </c>
      <c r="H13"/>
    </row>
    <row r="14" spans="1:8" ht="34.5" customHeight="1">
      <c r="A14" s="7"/>
      <c r="B14" s="70">
        <v>11</v>
      </c>
      <c r="C14" s="46" t="s">
        <v>74</v>
      </c>
      <c r="D14" s="117">
        <v>9844995359</v>
      </c>
      <c r="E14" s="42"/>
      <c r="F14" s="42"/>
      <c r="G14" s="31">
        <f t="shared" si="0"/>
        <v>9844995359</v>
      </c>
      <c r="H14"/>
    </row>
    <row r="15" spans="1:8" ht="34.5" customHeight="1">
      <c r="A15" s="7"/>
      <c r="B15" s="70">
        <v>12</v>
      </c>
      <c r="C15" s="46" t="s">
        <v>75</v>
      </c>
      <c r="D15" s="117">
        <v>8515118</v>
      </c>
      <c r="E15" s="42"/>
      <c r="F15" s="42"/>
      <c r="G15" s="31">
        <f t="shared" si="0"/>
        <v>8515118</v>
      </c>
      <c r="H15"/>
    </row>
    <row r="16" spans="1:8" ht="34.5" customHeight="1">
      <c r="A16" s="7"/>
      <c r="B16" s="70">
        <v>13</v>
      </c>
      <c r="C16" s="46" t="s">
        <v>79</v>
      </c>
      <c r="D16" s="117">
        <v>750954738</v>
      </c>
      <c r="E16" s="42"/>
      <c r="F16" s="42"/>
      <c r="G16" s="31">
        <f t="shared" si="0"/>
        <v>750954738</v>
      </c>
      <c r="H16"/>
    </row>
    <row r="17" spans="1:8" ht="34.5" customHeight="1">
      <c r="A17" s="7"/>
      <c r="B17" s="70">
        <v>14</v>
      </c>
      <c r="C17" s="46" t="s">
        <v>85</v>
      </c>
      <c r="D17" s="117">
        <v>57638743</v>
      </c>
      <c r="E17" s="42"/>
      <c r="F17" s="42"/>
      <c r="G17" s="31">
        <f t="shared" si="0"/>
        <v>57638743</v>
      </c>
      <c r="H17"/>
    </row>
    <row r="18" spans="1:8" ht="34.5" customHeight="1">
      <c r="A18" s="7"/>
      <c r="B18" s="70">
        <v>15</v>
      </c>
      <c r="C18" s="46" t="s">
        <v>86</v>
      </c>
      <c r="D18" s="118">
        <v>1677377997</v>
      </c>
      <c r="E18" s="42"/>
      <c r="F18" s="42"/>
      <c r="G18" s="31">
        <f t="shared" si="0"/>
        <v>1677377997</v>
      </c>
      <c r="H18"/>
    </row>
    <row r="19" spans="1:8" ht="34.5" customHeight="1">
      <c r="A19" s="7"/>
      <c r="B19" s="70">
        <v>16</v>
      </c>
      <c r="C19" s="46" t="s">
        <v>101</v>
      </c>
      <c r="D19" s="117">
        <v>235131173</v>
      </c>
      <c r="E19" s="42"/>
      <c r="F19" s="42"/>
      <c r="G19" s="31">
        <f t="shared" si="0"/>
        <v>235131173</v>
      </c>
      <c r="H19"/>
    </row>
    <row r="20" spans="1:8" ht="34.5" customHeight="1">
      <c r="A20" s="7"/>
      <c r="B20" s="70">
        <v>17</v>
      </c>
      <c r="C20" s="46" t="s">
        <v>102</v>
      </c>
      <c r="D20" s="117">
        <v>64728182</v>
      </c>
      <c r="E20" s="42"/>
      <c r="F20" s="42"/>
      <c r="G20" s="31">
        <f t="shared" si="0"/>
        <v>64728182</v>
      </c>
      <c r="H20"/>
    </row>
    <row r="21" spans="1:8" ht="34.5" customHeight="1">
      <c r="A21" s="7"/>
      <c r="B21" s="70">
        <v>18</v>
      </c>
      <c r="C21" s="46" t="s">
        <v>103</v>
      </c>
      <c r="D21" s="117">
        <v>149855</v>
      </c>
      <c r="E21" s="42"/>
      <c r="F21" s="42"/>
      <c r="G21" s="31">
        <f t="shared" si="0"/>
        <v>149855</v>
      </c>
      <c r="H21"/>
    </row>
    <row r="22" spans="1:8" ht="34.5" customHeight="1">
      <c r="A22" s="7"/>
      <c r="B22" s="70">
        <v>19</v>
      </c>
      <c r="C22" s="46" t="s">
        <v>104</v>
      </c>
      <c r="D22" s="117">
        <v>4687</v>
      </c>
      <c r="E22" s="42"/>
      <c r="F22" s="42"/>
      <c r="G22" s="31">
        <f t="shared" si="0"/>
        <v>4687</v>
      </c>
      <c r="H22"/>
    </row>
    <row r="23" spans="1:8" ht="34.5" customHeight="1">
      <c r="A23" s="7"/>
      <c r="B23" s="70">
        <v>20</v>
      </c>
      <c r="C23" s="46" t="s">
        <v>105</v>
      </c>
      <c r="D23" s="117">
        <v>470478329</v>
      </c>
      <c r="E23" s="42"/>
      <c r="F23" s="42"/>
      <c r="G23" s="31">
        <f t="shared" si="0"/>
        <v>470478329</v>
      </c>
      <c r="H23"/>
    </row>
    <row r="24" spans="1:8" ht="34.5" customHeight="1">
      <c r="A24" s="7"/>
      <c r="B24" s="70">
        <v>21</v>
      </c>
      <c r="C24" s="46" t="s">
        <v>106</v>
      </c>
      <c r="D24" s="117">
        <v>81987</v>
      </c>
      <c r="E24" s="42"/>
      <c r="F24" s="42"/>
      <c r="G24" s="31">
        <f t="shared" si="0"/>
        <v>81987</v>
      </c>
      <c r="H24"/>
    </row>
    <row r="25" spans="1:8" ht="34.5" customHeight="1">
      <c r="A25" s="7"/>
      <c r="B25" s="70">
        <v>22</v>
      </c>
      <c r="C25" s="46" t="s">
        <v>176</v>
      </c>
      <c r="D25" s="117">
        <v>1888703040</v>
      </c>
      <c r="E25" s="42"/>
      <c r="F25" s="42"/>
      <c r="G25" s="31">
        <f t="shared" si="0"/>
        <v>1888703040</v>
      </c>
      <c r="H25"/>
    </row>
    <row r="26" spans="1:8" ht="34.5" customHeight="1">
      <c r="A26" s="7"/>
      <c r="B26" s="70">
        <v>23</v>
      </c>
      <c r="C26" s="46" t="s">
        <v>143</v>
      </c>
      <c r="D26" s="117">
        <v>215589</v>
      </c>
      <c r="E26" s="42"/>
      <c r="F26" s="42"/>
      <c r="G26" s="31">
        <f t="shared" si="0"/>
        <v>215589</v>
      </c>
      <c r="H26"/>
    </row>
    <row r="27" spans="1:8" ht="34.5" customHeight="1">
      <c r="A27" s="7"/>
      <c r="B27" s="70">
        <v>24</v>
      </c>
      <c r="C27" s="46" t="s">
        <v>112</v>
      </c>
      <c r="D27" s="117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117">
        <v>650205181</v>
      </c>
      <c r="E28" s="42"/>
      <c r="F28" s="42"/>
      <c r="G28" s="31">
        <f t="shared" si="0"/>
        <v>650205181</v>
      </c>
      <c r="H28"/>
    </row>
    <row r="29" spans="1:8" ht="34.5" customHeight="1">
      <c r="A29" s="7"/>
      <c r="B29" s="8"/>
      <c r="C29" s="32" t="s">
        <v>22</v>
      </c>
      <c r="D29" s="49">
        <f>SUM(D4:D28)</f>
        <v>47860950992</v>
      </c>
      <c r="E29" s="31">
        <f>SUM(E4:E28)</f>
        <v>10000000000</v>
      </c>
      <c r="F29" s="31">
        <f>SUM(F4:F28)</f>
        <v>0</v>
      </c>
      <c r="G29" s="31">
        <f>SUM(G4:G28)</f>
        <v>37860950992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opLeftCell="A120" zoomScale="140" zoomScaleNormal="140" workbookViewId="0">
      <selection activeCell="D125" sqref="A125:D125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07" t="s">
        <v>68</v>
      </c>
      <c r="B1" s="107"/>
      <c r="C1" s="107"/>
      <c r="D1" s="107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08" t="s">
        <v>50</v>
      </c>
      <c r="B17" s="108"/>
      <c r="C17" s="108"/>
      <c r="D17" s="108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08" t="s">
        <v>61</v>
      </c>
      <c r="B22" s="108"/>
      <c r="C22" s="108"/>
      <c r="D22" s="108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09" t="s">
        <v>72</v>
      </c>
      <c r="B29" s="109"/>
      <c r="C29" s="109"/>
      <c r="D29" s="109"/>
    </row>
    <row r="30" spans="1:4">
      <c r="A30" s="110" t="s">
        <v>73</v>
      </c>
      <c r="B30" s="110"/>
      <c r="C30" s="110"/>
      <c r="D30" s="110"/>
    </row>
    <row r="33" spans="1:4" ht="30" customHeight="1">
      <c r="A33" s="106" t="s">
        <v>77</v>
      </c>
      <c r="B33" s="106"/>
      <c r="C33" s="106"/>
      <c r="D33" s="106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02" t="s">
        <v>80</v>
      </c>
      <c r="B46" s="102"/>
      <c r="C46" s="102"/>
      <c r="D46" s="102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11" t="s">
        <v>93</v>
      </c>
      <c r="B53" s="111"/>
      <c r="C53" s="111"/>
      <c r="D53" s="111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02" t="s">
        <v>77</v>
      </c>
      <c r="B56" s="102"/>
      <c r="C56" s="102"/>
      <c r="D56" s="102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02" t="s">
        <v>113</v>
      </c>
      <c r="B59" s="102"/>
      <c r="C59" s="102"/>
      <c r="D59" s="102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05" t="s">
        <v>140</v>
      </c>
      <c r="B85" s="105"/>
      <c r="C85" s="105"/>
      <c r="D85" s="105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04" t="s">
        <v>144</v>
      </c>
      <c r="B89" s="104"/>
      <c r="C89" s="104"/>
      <c r="D89" s="104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03" t="s">
        <v>147</v>
      </c>
      <c r="B92" s="103"/>
      <c r="C92" s="103"/>
      <c r="D92" s="103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2" t="s">
        <v>150</v>
      </c>
      <c r="B95" s="112"/>
      <c r="C95" s="112"/>
      <c r="D95" s="112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03" t="s">
        <v>152</v>
      </c>
      <c r="B100" s="103"/>
      <c r="C100" s="103"/>
      <c r="D100" s="103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02" t="s">
        <v>113</v>
      </c>
      <c r="B106" s="102"/>
      <c r="C106" s="102"/>
      <c r="D106" s="102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02" t="s">
        <v>113</v>
      </c>
      <c r="B121" s="102"/>
      <c r="C121" s="102"/>
      <c r="D121" s="102"/>
    </row>
    <row r="122" spans="1:4">
      <c r="A122" s="75">
        <v>352082</v>
      </c>
      <c r="B122" s="76">
        <v>10000000000</v>
      </c>
      <c r="C122" s="75" t="s">
        <v>168</v>
      </c>
      <c r="D122" s="75" t="s">
        <v>115</v>
      </c>
    </row>
    <row r="123" spans="1:4">
      <c r="A123" s="75">
        <v>965131</v>
      </c>
      <c r="B123" s="76">
        <v>10000000000</v>
      </c>
      <c r="C123" s="75" t="s">
        <v>169</v>
      </c>
      <c r="D123" s="75" t="s">
        <v>114</v>
      </c>
    </row>
    <row r="124" spans="1:4">
      <c r="A124" s="75">
        <v>352083</v>
      </c>
      <c r="B124" s="76">
        <v>10000000000</v>
      </c>
      <c r="C124" s="75" t="s">
        <v>170</v>
      </c>
      <c r="D124" s="75" t="s">
        <v>115</v>
      </c>
    </row>
    <row r="125" spans="1:4">
      <c r="A125" s="82">
        <v>965132</v>
      </c>
      <c r="B125" s="83">
        <v>10000000000</v>
      </c>
      <c r="C125" s="82" t="s">
        <v>171</v>
      </c>
      <c r="D125" s="82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102" t="s">
        <v>177</v>
      </c>
      <c r="B130" s="102"/>
      <c r="C130" s="102"/>
      <c r="D130" s="102"/>
    </row>
    <row r="131" spans="1:4">
      <c r="A131" s="73">
        <v>352085</v>
      </c>
      <c r="B131" s="74">
        <v>4675000000</v>
      </c>
      <c r="C131" s="73" t="s">
        <v>178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33:D33"/>
    <mergeCell ref="A106:D106"/>
    <mergeCell ref="A59:D59"/>
    <mergeCell ref="A56:D56"/>
    <mergeCell ref="A1:D1"/>
    <mergeCell ref="A17:D17"/>
    <mergeCell ref="A22:D22"/>
    <mergeCell ref="A29:D29"/>
    <mergeCell ref="A30:D30"/>
    <mergeCell ref="A53:D53"/>
    <mergeCell ref="A46:D46"/>
    <mergeCell ref="A100:D100"/>
    <mergeCell ref="A95:D95"/>
    <mergeCell ref="A130:D130"/>
    <mergeCell ref="A92:D92"/>
    <mergeCell ref="A89:D89"/>
    <mergeCell ref="A85:D85"/>
    <mergeCell ref="A121:D121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2026-09-07T05:30:51Z</cp:lastPrinted>
  <dcterms:created xsi:type="dcterms:W3CDTF">2022-08-14T06:30:14Z</dcterms:created>
  <dcterms:modified xsi:type="dcterms:W3CDTF">2026-09-07T06:24:22Z</dcterms:modified>
</cp:coreProperties>
</file>