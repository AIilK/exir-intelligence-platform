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چک‌های سند نخورده" sheetId="1" state="visible" r:id="rId1"/>
  </sheets>
  <definedNames>
    <definedName name="_xlnm._FilterDatabase" localSheetId="0" hidden="1">'چک‌های سند نخورده'!$A$4:$O$14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10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34" customWidth="1" min="3" max="3"/>
    <col width="11" customWidth="1" min="4" max="4"/>
    <col width="13" customWidth="1" min="5" max="5"/>
    <col width="10" customWidth="1" min="6" max="6"/>
    <col width="18" customWidth="1" min="7" max="7"/>
    <col width="16" customWidth="1" min="8" max="8"/>
    <col width="12" customWidth="1" min="9" max="9"/>
    <col width="24" customWidth="1" min="10" max="10"/>
    <col width="16" customWidth="1" min="11" max="11"/>
    <col width="14" customWidth="1" min="12" max="12"/>
    <col width="14" customWidth="1" min="13" max="13"/>
    <col width="60" customWidth="1" min="14" max="14"/>
    <col width="48" customWidth="1" min="15" max="15"/>
  </cols>
  <sheetData>
    <row r="1">
      <c r="A1" s="1" t="inlineStr">
        <is>
          <t>چک‌های پرداختی معوق راهکاران که سند پرداخت نخورده‌اند (بدون سهامداران) — ۷ چک محدوده داشبورد + ۳ چک بیش از ۲۰ روز معوق</t>
        </is>
      </c>
    </row>
    <row r="2">
      <c r="A2" s="2" t="inlineStr">
        <is>
          <t>تاریخ گزارش: 1405/07/27 — منبع: دیتابیس راهکاران (RPA3.PayableNote، State = 11، بدون سند تأییدشده تغییر مدت/وصول چک)</t>
        </is>
      </c>
    </row>
    <row r="4" ht="30" customHeight="1">
      <c r="A4" s="3" t="inlineStr">
        <is>
          <t>ردیف</t>
        </is>
      </c>
      <c r="B4" s="3" t="inlineStr">
        <is>
          <t>شماره چک</t>
        </is>
      </c>
      <c r="C4" s="3" t="inlineStr">
        <is>
          <t>طرف حساب</t>
        </is>
      </c>
      <c r="D4" s="3" t="inlineStr">
        <is>
          <t>کد تفصیلی</t>
        </is>
      </c>
      <c r="E4" s="3" t="inlineStr">
        <is>
          <t>تاریخ سررسید</t>
        </is>
      </c>
      <c r="F4" s="3" t="inlineStr">
        <is>
          <t>روز معوق</t>
        </is>
      </c>
      <c r="G4" s="3" t="inlineStr">
        <is>
          <t>مبلغ (ریال)</t>
        </is>
      </c>
      <c r="H4" s="3" t="inlineStr">
        <is>
          <t>مبلغ (تومان)</t>
        </is>
      </c>
      <c r="I4" s="3" t="inlineStr">
        <is>
          <t>بانک</t>
        </is>
      </c>
      <c r="J4" s="3" t="inlineStr">
        <is>
          <t>شعبه</t>
        </is>
      </c>
      <c r="K4" s="3" t="inlineStr">
        <is>
          <t>شماره حساب</t>
        </is>
      </c>
      <c r="L4" s="3" t="inlineStr">
        <is>
          <t>شماره سند صدور</t>
        </is>
      </c>
      <c r="M4" s="3" t="inlineStr">
        <is>
          <t>تاریخ سند صدور</t>
        </is>
      </c>
      <c r="N4" s="3" t="inlineStr">
        <is>
          <t>شرح چک</t>
        </is>
      </c>
      <c r="O4" s="3" t="inlineStr">
        <is>
          <t>ملاحظات</t>
        </is>
      </c>
    </row>
    <row r="5">
      <c r="A5" s="4" t="n">
        <v>1</v>
      </c>
      <c r="B5" s="5" t="inlineStr">
        <is>
          <t>154107</t>
        </is>
      </c>
      <c r="C5" s="6" t="inlineStr">
        <is>
          <t>پارسه البرز راویا</t>
        </is>
      </c>
      <c r="D5" s="4" t="inlineStr">
        <is>
          <t>130987</t>
        </is>
      </c>
      <c r="E5" s="4" t="inlineStr">
        <is>
          <t>1405/04/21</t>
        </is>
      </c>
      <c r="F5" s="4" t="n">
        <v>99</v>
      </c>
      <c r="G5" s="7" t="n">
        <v>592900000</v>
      </c>
      <c r="H5" s="7">
        <f>G5/10</f>
        <v/>
      </c>
      <c r="I5" s="6" t="inlineStr">
        <is>
          <t>بانک سپه</t>
        </is>
      </c>
      <c r="J5" s="6" t="inlineStr">
        <is>
          <t>اشتهارد کد 925</t>
        </is>
      </c>
      <c r="K5" s="5" t="inlineStr">
        <is>
          <t>925800077753</t>
        </is>
      </c>
      <c r="L5" s="4" t="inlineStr">
        <is>
          <t>31249</t>
        </is>
      </c>
      <c r="M5" s="4" t="inlineStr">
        <is>
          <t>1405/02/20</t>
        </is>
      </c>
      <c r="N5" s="8" t="inlineStr">
        <is>
          <t>پرداخت الباقی پ ف 84 - بابت کارتن 3 لایه رنگ مو 50 میل - 2.000 عدد - کادوس</t>
        </is>
      </c>
      <c r="O5" s="8" t="inlineStr">
        <is>
          <t>بیش از ۲۰ روز معوق؛ در داشبورد نمایش داده نمی‌شود — چک‌های دیگر همین طرف حساب سند وصول خورده‌اند</t>
        </is>
      </c>
    </row>
    <row r="6">
      <c r="A6" s="4" t="n">
        <v>2</v>
      </c>
      <c r="B6" s="5" t="inlineStr">
        <is>
          <t>431906</t>
        </is>
      </c>
      <c r="C6" s="6" t="inlineStr">
        <is>
          <t>سبا مردانی.</t>
        </is>
      </c>
      <c r="D6" s="4" t="inlineStr">
        <is>
          <t>601258</t>
        </is>
      </c>
      <c r="E6" s="4" t="inlineStr">
        <is>
          <t>1405/05/27</t>
        </is>
      </c>
      <c r="F6" s="4" t="n">
        <v>62</v>
      </c>
      <c r="G6" s="7" t="n">
        <v>898419357</v>
      </c>
      <c r="H6" s="7">
        <f>G6/10</f>
        <v/>
      </c>
      <c r="I6" s="6" t="inlineStr">
        <is>
          <t>بانک انصار</t>
        </is>
      </c>
      <c r="J6" s="6" t="inlineStr">
        <is>
          <t>مترو میردادماد کد 5565</t>
        </is>
      </c>
      <c r="K6" s="5" t="inlineStr">
        <is>
          <t>556543166820581</t>
        </is>
      </c>
      <c r="L6" s="4" t="inlineStr">
        <is>
          <t>34109</t>
        </is>
      </c>
      <c r="M6" s="4" t="inlineStr">
        <is>
          <t>1405/05/26</t>
        </is>
      </c>
      <c r="N6" s="8" t="inlineStr">
        <is>
          <t>پرداخت تسویه حساب خانم سبا مردانی..</t>
        </is>
      </c>
      <c r="O6" s="8" t="inlineStr">
        <is>
          <t>بیش از ۲۰ روز معوق؛ در داشبورد نمایش داده نمی‌شود — چک تسویه حساب</t>
        </is>
      </c>
    </row>
    <row r="7">
      <c r="A7" s="4" t="n">
        <v>3</v>
      </c>
      <c r="B7" s="5" t="inlineStr">
        <is>
          <t>462485</t>
        </is>
      </c>
      <c r="C7" s="6" t="inlineStr">
        <is>
          <t>صنایع کارتن زرافشان- حسن پور-بهین پک</t>
        </is>
      </c>
      <c r="D7" s="4" t="inlineStr">
        <is>
          <t>130500</t>
        </is>
      </c>
      <c r="E7" s="4" t="inlineStr">
        <is>
          <t>1405/06/09</t>
        </is>
      </c>
      <c r="F7" s="4" t="n">
        <v>49</v>
      </c>
      <c r="G7" s="7" t="n">
        <v>752493936</v>
      </c>
      <c r="H7" s="7">
        <f>G7/10</f>
        <v/>
      </c>
      <c r="I7" s="6" t="inlineStr">
        <is>
          <t>بانک ملت</t>
        </is>
      </c>
      <c r="J7" s="6" t="inlineStr">
        <is>
          <t>دستگردی کد 65136</t>
        </is>
      </c>
      <c r="K7" s="5" t="inlineStr">
        <is>
          <t>9855267868</t>
        </is>
      </c>
      <c r="L7" s="4" t="inlineStr">
        <is>
          <t>33441</t>
        </is>
      </c>
      <c r="M7" s="4" t="inlineStr">
        <is>
          <t>1405/04/23</t>
        </is>
      </c>
      <c r="N7" s="8" t="inlineStr">
        <is>
          <t>زرافشان  10102751540</t>
        </is>
      </c>
      <c r="O7" s="8" t="inlineStr">
        <is>
          <t>بیش از ۲۰ روز معوق؛ در داشبورد نمایش داده نمی‌شود — زرافشان چک سند نخورده دیگری هم دارد (۹۶۱۱۵۴)</t>
        </is>
      </c>
    </row>
    <row r="8">
      <c r="A8" s="4" t="n">
        <v>4</v>
      </c>
      <c r="B8" s="5" t="inlineStr">
        <is>
          <t>961156</t>
        </is>
      </c>
      <c r="C8" s="6" t="inlineStr">
        <is>
          <t>صنایع پلاستیک و بسته بندی محب قزوین</t>
        </is>
      </c>
      <c r="D8" s="4" t="inlineStr">
        <is>
          <t>130501</t>
        </is>
      </c>
      <c r="E8" s="4" t="inlineStr">
        <is>
          <t>1405/07/12</t>
        </is>
      </c>
      <c r="F8" s="4" t="n">
        <v>15</v>
      </c>
      <c r="G8" s="7" t="n">
        <v>5696750000</v>
      </c>
      <c r="H8" s="7">
        <f>G8/10</f>
        <v/>
      </c>
      <c r="I8" s="6" t="inlineStr">
        <is>
          <t>بانک سپه</t>
        </is>
      </c>
      <c r="J8" s="6" t="inlineStr">
        <is>
          <t>اشتهارد کد 925</t>
        </is>
      </c>
      <c r="K8" s="5" t="inlineStr">
        <is>
          <t>925800143607</t>
        </is>
      </c>
      <c r="L8" s="4" t="inlineStr">
        <is>
          <t>33942</t>
        </is>
      </c>
      <c r="M8" s="4" t="inlineStr">
        <is>
          <t>1405/05/12</t>
        </is>
      </c>
      <c r="N8" s="8" t="inlineStr">
        <is>
          <t>پرداخت 50679 - بابت تیوب خمیر دندان چند منظوره اورادنت - 50.000 عدد - فراز.</t>
        </is>
      </c>
      <c r="O8" s="8" t="inlineStr"/>
    </row>
    <row r="9">
      <c r="A9" s="4" t="n">
        <v>5</v>
      </c>
      <c r="B9" s="5" t="inlineStr">
        <is>
          <t>961154</t>
        </is>
      </c>
      <c r="C9" s="6" t="inlineStr">
        <is>
          <t>صنایع کارتن زرافشان- حسن پور-بهین پک</t>
        </is>
      </c>
      <c r="D9" s="4" t="inlineStr">
        <is>
          <t>130500</t>
        </is>
      </c>
      <c r="E9" s="4" t="inlineStr">
        <is>
          <t>1405/07/13</t>
        </is>
      </c>
      <c r="F9" s="4" t="n">
        <v>14</v>
      </c>
      <c r="G9" s="7" t="n">
        <v>2295700000</v>
      </c>
      <c r="H9" s="7">
        <f>G9/10</f>
        <v/>
      </c>
      <c r="I9" s="6" t="inlineStr">
        <is>
          <t>بانک سپه</t>
        </is>
      </c>
      <c r="J9" s="6" t="inlineStr">
        <is>
          <t>اشتهارد کد 925</t>
        </is>
      </c>
      <c r="K9" s="5" t="inlineStr">
        <is>
          <t>925800143607</t>
        </is>
      </c>
      <c r="L9" s="4" t="inlineStr">
        <is>
          <t>33832</t>
        </is>
      </c>
      <c r="M9" s="4" t="inlineStr">
        <is>
          <t>1405/05/11</t>
        </is>
      </c>
      <c r="N9" s="8" t="inlineStr">
        <is>
          <t>پرداخت پ ف 1179 - بابت کارتن دئودرانت 12 تایی مولهنس - 10.000 عدد - فراز.</t>
        </is>
      </c>
      <c r="O9" s="8" t="inlineStr"/>
    </row>
    <row r="10">
      <c r="A10" s="4" t="n">
        <v>6</v>
      </c>
      <c r="B10" s="5" t="inlineStr">
        <is>
          <t>102938</t>
        </is>
      </c>
      <c r="C10" s="6" t="inlineStr">
        <is>
          <t>آکسون - عظیمی</t>
        </is>
      </c>
      <c r="D10" s="4" t="inlineStr">
        <is>
          <t>130589</t>
        </is>
      </c>
      <c r="E10" s="4" t="inlineStr">
        <is>
          <t>1405/07/21</t>
        </is>
      </c>
      <c r="F10" s="4" t="n">
        <v>6</v>
      </c>
      <c r="G10" s="7" t="n">
        <v>3287512700</v>
      </c>
      <c r="H10" s="7">
        <f>G10/10</f>
        <v/>
      </c>
      <c r="I10" s="6" t="inlineStr">
        <is>
          <t>بانک ملت</t>
        </is>
      </c>
      <c r="J10" s="6" t="inlineStr">
        <is>
          <t>دستگردی کد 65136</t>
        </is>
      </c>
      <c r="K10" s="5" t="inlineStr">
        <is>
          <t>9855163532</t>
        </is>
      </c>
      <c r="L10" s="4" t="inlineStr">
        <is>
          <t>29414</t>
        </is>
      </c>
      <c r="M10" s="4" t="inlineStr">
        <is>
          <t>1404/10/28</t>
        </is>
      </c>
      <c r="N10" s="8" t="inlineStr">
        <is>
          <t>پرداخت مانده حساب - فراز.</t>
        </is>
      </c>
      <c r="O10" s="8" t="inlineStr">
        <is>
          <t>چک دیگر همین سند (۱۰۲۹۳۷) سند پرداخت خورده — احتمال جاافتادن سند</t>
        </is>
      </c>
    </row>
    <row r="11">
      <c r="A11" s="4" t="n">
        <v>7</v>
      </c>
      <c r="B11" s="5" t="inlineStr">
        <is>
          <t>426862</t>
        </is>
      </c>
      <c r="C11" s="6" t="inlineStr">
        <is>
          <t>ظهورپلاستیک - احمدی</t>
        </is>
      </c>
      <c r="D11" s="4" t="inlineStr">
        <is>
          <t>130502</t>
        </is>
      </c>
      <c r="E11" s="4" t="inlineStr">
        <is>
          <t>1405/07/21</t>
        </is>
      </c>
      <c r="F11" s="4" t="n">
        <v>6</v>
      </c>
      <c r="G11" s="7" t="n">
        <v>3000000000</v>
      </c>
      <c r="H11" s="7">
        <f>G11/10</f>
        <v/>
      </c>
      <c r="I11" s="6" t="inlineStr">
        <is>
          <t>بانک ملت</t>
        </is>
      </c>
      <c r="J11" s="6" t="inlineStr">
        <is>
          <t>دستگردی کد 65136</t>
        </is>
      </c>
      <c r="K11" s="5" t="inlineStr">
        <is>
          <t>9004173558</t>
        </is>
      </c>
      <c r="L11" s="4" t="inlineStr">
        <is>
          <t>32860</t>
        </is>
      </c>
      <c r="M11" s="4" t="inlineStr">
        <is>
          <t>1405/04/06</t>
        </is>
      </c>
      <c r="N11" s="8" t="inlineStr">
        <is>
          <t>پیش پرداخت به شرکت ظهور پلاستیک....</t>
        </is>
      </c>
      <c r="O11" s="8" t="inlineStr"/>
    </row>
    <row r="12">
      <c r="A12" s="4" t="n">
        <v>8</v>
      </c>
      <c r="B12" s="5" t="inlineStr">
        <is>
          <t>150819</t>
        </is>
      </c>
      <c r="C12" s="6" t="inlineStr">
        <is>
          <t>صنایع پلاستیک و بسته بندی محب قزوین</t>
        </is>
      </c>
      <c r="D12" s="4" t="inlineStr">
        <is>
          <t>130501</t>
        </is>
      </c>
      <c r="E12" s="4" t="inlineStr">
        <is>
          <t>1405/07/22</t>
        </is>
      </c>
      <c r="F12" s="4" t="n">
        <v>5</v>
      </c>
      <c r="G12" s="7" t="n">
        <v>1600000000</v>
      </c>
      <c r="H12" s="7">
        <f>G12/10</f>
        <v/>
      </c>
      <c r="I12" s="6" t="inlineStr">
        <is>
          <t>بانک ملت</t>
        </is>
      </c>
      <c r="J12" s="6" t="inlineStr">
        <is>
          <t>دستگردی کد 65136</t>
        </is>
      </c>
      <c r="K12" s="5" t="inlineStr">
        <is>
          <t>9855163532</t>
        </is>
      </c>
      <c r="L12" s="4" t="inlineStr">
        <is>
          <t>33034</t>
        </is>
      </c>
      <c r="M12" s="4" t="inlineStr">
        <is>
          <t>1405/03/27</t>
        </is>
      </c>
      <c r="N12" s="8" t="inlineStr">
        <is>
          <t>پرداخت ش ف 14041113 - بابت تیوپ ژل مو کالیون 200میل مرطوب آبی - 15.741 عدد - فراز.</t>
        </is>
      </c>
      <c r="O12" s="8" t="inlineStr"/>
    </row>
    <row r="13">
      <c r="A13" s="4" t="n">
        <v>9</v>
      </c>
      <c r="B13" s="5" t="inlineStr">
        <is>
          <t>462487</t>
        </is>
      </c>
      <c r="C13" s="6" t="inlineStr">
        <is>
          <t>شرکت کیمیاگسترفرسام</t>
        </is>
      </c>
      <c r="D13" s="4" t="inlineStr">
        <is>
          <t>130092</t>
        </is>
      </c>
      <c r="E13" s="4" t="inlineStr">
        <is>
          <t>1405/07/22</t>
        </is>
      </c>
      <c r="F13" s="4" t="n">
        <v>5</v>
      </c>
      <c r="G13" s="7" t="n">
        <v>3000000000</v>
      </c>
      <c r="H13" s="7">
        <f>G13/10</f>
        <v/>
      </c>
      <c r="I13" s="6" t="inlineStr">
        <is>
          <t>بانک ملت</t>
        </is>
      </c>
      <c r="J13" s="6" t="inlineStr">
        <is>
          <t>دستگردی کد 65136</t>
        </is>
      </c>
      <c r="K13" s="5" t="inlineStr">
        <is>
          <t>9855267868</t>
        </is>
      </c>
      <c r="L13" s="4" t="inlineStr">
        <is>
          <t>33997</t>
        </is>
      </c>
      <c r="M13" s="4" t="inlineStr">
        <is>
          <t>1405/05/27</t>
        </is>
      </c>
      <c r="N13" s="8" t="inlineStr">
        <is>
          <t>پرداخت پ ف 205311 - بابت پروپیلن گلایکول - 1.000 کیلو - اکسیر ( مانده از قبل 717.600.000 ریال کسر شد).</t>
        </is>
      </c>
      <c r="O13" s="8" t="inlineStr">
        <is>
          <t>دو چک دیگر همین سند (۴۶۲۴۸۶ و ۴۶۲۴۸۸) سند پرداخت خورده — احتمال جاافتادن سند</t>
        </is>
      </c>
    </row>
    <row r="14">
      <c r="A14" s="4" t="n">
        <v>10</v>
      </c>
      <c r="B14" s="5" t="inlineStr">
        <is>
          <t>804559</t>
        </is>
      </c>
      <c r="C14" s="6" t="inlineStr">
        <is>
          <t>پارس پیشرو بیمه ایرانیان - بیمه تکمیلی</t>
        </is>
      </c>
      <c r="D14" s="4" t="inlineStr">
        <is>
          <t>106050</t>
        </is>
      </c>
      <c r="E14" s="4" t="inlineStr">
        <is>
          <t>1405/07/25</t>
        </is>
      </c>
      <c r="F14" s="4" t="n">
        <v>2</v>
      </c>
      <c r="G14" s="7" t="n">
        <v>1671600000</v>
      </c>
      <c r="H14" s="7">
        <f>G14/10</f>
        <v/>
      </c>
      <c r="I14" s="6" t="inlineStr">
        <is>
          <t>بانک تجارت</t>
        </is>
      </c>
      <c r="J14" s="6" t="inlineStr">
        <is>
          <t>نفت شمالی کد 1465</t>
        </is>
      </c>
      <c r="K14" s="5" t="inlineStr">
        <is>
          <t>356056779</t>
        </is>
      </c>
      <c r="L14" s="4" t="inlineStr">
        <is>
          <t>30734</t>
        </is>
      </c>
      <c r="M14" s="4" t="inlineStr">
        <is>
          <t>1404/12/03</t>
        </is>
      </c>
      <c r="N14" s="8" t="inlineStr">
        <is>
          <t>پرداخت هزینه بیمه تکمیلی فراز بهداشت..</t>
        </is>
      </c>
      <c r="O14" s="8" t="inlineStr">
        <is>
          <t>چک قبلی همین طرف حساب (۱۸۱۳۷۷) سند پرداخت خورده — احتمال جاافتادن سند</t>
        </is>
      </c>
    </row>
    <row r="15">
      <c r="A15" s="9" t="inlineStr">
        <is>
          <t>جمع</t>
        </is>
      </c>
      <c r="B15" s="10" t="n"/>
      <c r="C15" s="10" t="n"/>
      <c r="D15" s="10" t="n"/>
      <c r="E15" s="10" t="n"/>
      <c r="F15" s="10" t="n"/>
      <c r="G15" s="11">
        <f>SUM(G5:G14)</f>
        <v/>
      </c>
      <c r="H15" s="11">
        <f>SUM(H5:H14)</f>
        <v/>
      </c>
      <c r="I15" s="10" t="n"/>
      <c r="J15" s="10" t="n"/>
      <c r="K15" s="10" t="n"/>
      <c r="L15" s="10" t="n"/>
      <c r="M15" s="10" t="n"/>
      <c r="N15" s="10" t="n"/>
      <c r="O15" s="10" t="n"/>
    </row>
    <row r="17">
      <c r="A17" s="12" t="inlineStr">
        <is>
          <t>مبلغ (تومان) = مبلغ ریالی دیتابیس ÷ ۱۰. «روز معوق» نسبت به تاریخ گزارش است. چک‌های سهامداران (۹۱۰۲۶۲ و ۰۴۴۵۶۵) طبق درخواست حذف شده‌اند.</t>
        </is>
      </c>
    </row>
  </sheetData>
  <autoFilter ref="A4:O14"/>
  <mergeCells count="1"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2026-10-19T12:27:31Z</dcterms:created>
  <dcterms:modified xsi:type="dcterms:W3CDTF">2026-10-19T12:27:31Z</dcterms:modified>
</cp:coreProperties>
</file>